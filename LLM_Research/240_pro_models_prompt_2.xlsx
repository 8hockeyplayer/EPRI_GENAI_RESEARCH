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rmaanbhaskar/Desktop/Capstone Project/"/>
    </mc:Choice>
  </mc:AlternateContent>
  <xr:revisionPtr revIDLastSave="0" documentId="13_ncr:1_{BE0E3DD1-41D8-5448-95ED-AAD3E00BF408}" xr6:coauthVersionLast="47" xr6:coauthVersionMax="47" xr10:uidLastSave="{00000000-0000-0000-0000-000000000000}"/>
  <bookViews>
    <workbookView xWindow="0" yWindow="760" windowWidth="30240" windowHeight="17900" activeTab="4" xr2:uid="{00000000-000D-0000-FFFF-FFFF00000000}"/>
  </bookViews>
  <sheets>
    <sheet name="gemini-3.1-pro-preview" sheetId="1" r:id="rId1"/>
    <sheet name="gpt-5.4" sheetId="2" r:id="rId2"/>
    <sheet name="claude-opus-4-6" sheetId="3" r:id="rId3"/>
    <sheet name="Sheet1" sheetId="6" r:id="rId4"/>
    <sheet name="Hand Coded" sheetId="4" r:id="rId5"/>
    <sheet name="Accuracy Table" sheetId="5" r:id="rId6"/>
    <sheet name="Error trac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 a="1"/>
  <c r="B22" i="5" s="1"/>
  <c r="B20" i="5" a="1"/>
  <c r="B20" i="5" s="1"/>
  <c r="B14" i="5" a="1"/>
  <c r="B14" i="5" s="1"/>
  <c r="B12" i="5" a="1"/>
  <c r="B12" i="5" s="1"/>
  <c r="B4" i="5" a="1"/>
  <c r="B4" i="5" s="1"/>
  <c r="B6" i="5" a="1"/>
  <c r="B6" i="5" s="1"/>
  <c r="B21" i="5" a="1"/>
  <c r="B21" i="5" s="1"/>
  <c r="B19" i="5" a="1"/>
  <c r="B19" i="5" s="1"/>
  <c r="B13" i="5" a="1"/>
  <c r="B13" i="5" s="1"/>
  <c r="B11" i="5" a="1"/>
  <c r="B11" i="5" s="1"/>
  <c r="B5" i="5" a="1"/>
  <c r="B5" i="5" s="1"/>
  <c r="B3" i="5" a="1"/>
  <c r="B3" i="5" s="1"/>
  <c r="C5" i="5"/>
  <c r="C4" i="5"/>
  <c r="C3" i="5"/>
  <c r="C6" i="5"/>
  <c r="D63" i="7" l="1"/>
  <c r="C63" i="7"/>
  <c r="B63" i="7"/>
  <c r="D62" i="7"/>
  <c r="C62" i="7"/>
  <c r="B62" i="7"/>
  <c r="D61" i="7"/>
  <c r="C61" i="7"/>
  <c r="B61" i="7"/>
  <c r="D55" i="7"/>
  <c r="C55" i="7"/>
  <c r="B55" i="7"/>
  <c r="D54" i="7"/>
  <c r="D53" i="7"/>
  <c r="D51" i="7"/>
  <c r="D47" i="7"/>
  <c r="C47" i="7"/>
  <c r="B47" i="7"/>
  <c r="D46" i="7"/>
  <c r="D45" i="7"/>
  <c r="D44" i="7"/>
  <c r="D43" i="7"/>
  <c r="D39" i="7"/>
  <c r="C39" i="7"/>
  <c r="B39" i="7"/>
  <c r="D38" i="7"/>
  <c r="D37" i="7"/>
  <c r="D36" i="7"/>
  <c r="D35" i="7"/>
  <c r="D28" i="7"/>
  <c r="C28" i="7"/>
  <c r="B28" i="7"/>
  <c r="D27" i="7"/>
  <c r="D26" i="7"/>
  <c r="D25" i="7"/>
  <c r="D24" i="7"/>
  <c r="D20" i="7"/>
  <c r="C20" i="7"/>
  <c r="B20" i="7"/>
  <c r="D19" i="7"/>
  <c r="D18" i="7"/>
  <c r="D17" i="7"/>
  <c r="D16" i="7"/>
  <c r="D12" i="7"/>
  <c r="C12" i="7"/>
  <c r="B12" i="7"/>
  <c r="D11" i="7"/>
  <c r="D10" i="7"/>
  <c r="D9" i="7"/>
  <c r="D8" i="7"/>
  <c r="C14" i="5"/>
  <c r="C21" i="5"/>
  <c r="C20" i="5"/>
  <c r="D5" i="5"/>
  <c r="D4" i="5"/>
  <c r="C7" i="5" l="1"/>
  <c r="D20" i="5"/>
  <c r="B15" i="5"/>
  <c r="D21" i="5"/>
  <c r="D14" i="5"/>
  <c r="B23" i="5"/>
  <c r="B7" i="5"/>
  <c r="D7" i="5" s="1"/>
  <c r="C11" i="5"/>
  <c r="D11" i="5" s="1"/>
  <c r="C12" i="5"/>
  <c r="D12" i="5" s="1"/>
  <c r="C13" i="5"/>
  <c r="D13" i="5" s="1"/>
  <c r="C19" i="5"/>
  <c r="C22" i="5"/>
  <c r="D22" i="5" s="1"/>
  <c r="D3" i="5"/>
  <c r="D6" i="5"/>
  <c r="C15" i="5" l="1"/>
  <c r="D15" i="5" s="1"/>
  <c r="D19" i="5"/>
  <c r="C23" i="5"/>
  <c r="D2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<sst xmlns="http://schemas.openxmlformats.org/spreadsheetml/2006/main" count="7828" uniqueCount="460">
  <si>
    <t>pdf_id</t>
  </si>
  <si>
    <t>model</t>
  </si>
  <si>
    <t>llm_document_type</t>
  </si>
  <si>
    <t>llm_model_document_type</t>
  </si>
  <si>
    <t>llm_doctype_mismatch</t>
  </si>
  <si>
    <t>llm_support_label</t>
  </si>
  <si>
    <t>llm_commenter_type</t>
  </si>
  <si>
    <t>llm_project_state</t>
  </si>
  <si>
    <t>llm_project_region</t>
  </si>
  <si>
    <t>llm_feedback_theme_primary</t>
  </si>
  <si>
    <t>llm_feedback_theme_tags</t>
  </si>
  <si>
    <t>gemini-3.1-pro-preview</t>
  </si>
  <si>
    <t>substantive_comment</t>
  </si>
  <si>
    <t>oppose</t>
  </si>
  <si>
    <t>nonprofit</t>
  </si>
  <si>
    <t>NM</t>
  </si>
  <si>
    <t>southwest</t>
  </si>
  <si>
    <t>economics_jobs</t>
  </si>
  <si>
    <t>economics_jobs|public_process</t>
  </si>
  <si>
    <t>agency_submission</t>
  </si>
  <si>
    <t>procedural_filing</t>
  </si>
  <si>
    <t>government</t>
  </si>
  <si>
    <t>WI</t>
  </si>
  <si>
    <t>midwest</t>
  </si>
  <si>
    <t>public_process</t>
  </si>
  <si>
    <t>WY</t>
  </si>
  <si>
    <t>northwest</t>
  </si>
  <si>
    <t>safety_risk</t>
  </si>
  <si>
    <t>water_impacts|wildlife_ecosystem|safety_risk</t>
  </si>
  <si>
    <t>resident</t>
  </si>
  <si>
    <t>PA</t>
  </si>
  <si>
    <t>northeast</t>
  </si>
  <si>
    <t>water_impacts</t>
  </si>
  <si>
    <t>water_impacts|wildlife_ecosystem|public_process</t>
  </si>
  <si>
    <t>support</t>
  </si>
  <si>
    <t>economics_jobs|climate_energy</t>
  </si>
  <si>
    <t>public_process|climate_energy</t>
  </si>
  <si>
    <t>unknown</t>
  </si>
  <si>
    <t>wildlife_ecosystem</t>
  </si>
  <si>
    <t>Minnesota</t>
  </si>
  <si>
    <t>cultural_historic</t>
  </si>
  <si>
    <t>cultural_historic|public_process</t>
  </si>
  <si>
    <t>TN</t>
  </si>
  <si>
    <t>southeast</t>
  </si>
  <si>
    <t>wildlife_ecosystem|climate_energy</t>
  </si>
  <si>
    <t>landowner</t>
  </si>
  <si>
    <t>KY</t>
  </si>
  <si>
    <t>cultural_historic|water_impacts</t>
  </si>
  <si>
    <t>climate_energy</t>
  </si>
  <si>
    <t>CA</t>
  </si>
  <si>
    <t>economics_jobs|other</t>
  </si>
  <si>
    <t>LA</t>
  </si>
  <si>
    <t>south_central</t>
  </si>
  <si>
    <t>water_impacts|wildlife_ecosystem|public_process|recreation_tourism</t>
  </si>
  <si>
    <t>wildlife_ecosystem|water_impacts</t>
  </si>
  <si>
    <t>recreation_tourism</t>
  </si>
  <si>
    <t>business</t>
  </si>
  <si>
    <t>ME</t>
  </si>
  <si>
    <t>TX</t>
  </si>
  <si>
    <t>wildlife_ecosystem|water_impacts|public_process</t>
  </si>
  <si>
    <t>FL</t>
  </si>
  <si>
    <t>NY</t>
  </si>
  <si>
    <t>water_impacts|public_process</t>
  </si>
  <si>
    <t>climate_energy|economics_jobs</t>
  </si>
  <si>
    <t>safety_risk|public_process|property_rights</t>
  </si>
  <si>
    <t>other</t>
  </si>
  <si>
    <t>water_impacts|wildlife_ecosystem</t>
  </si>
  <si>
    <t>VA</t>
  </si>
  <si>
    <t>climate_energy|public_process</t>
  </si>
  <si>
    <t>water_impacts|property_rights</t>
  </si>
  <si>
    <t>wildlife_ecosystem|recreation_tourism</t>
  </si>
  <si>
    <t>NV</t>
  </si>
  <si>
    <t>public_process|water_impacts|economics_jobs</t>
  </si>
  <si>
    <t>WA</t>
  </si>
  <si>
    <t>Wyoming</t>
  </si>
  <si>
    <t>water_impacts|wildlife_ecosystem|recreation_tourism</t>
  </si>
  <si>
    <t>water_impacts|public_process|wildlife_ecosystem</t>
  </si>
  <si>
    <t>wildlife_ecosystem|property_rights|economics_jobs</t>
  </si>
  <si>
    <t>tribal</t>
  </si>
  <si>
    <t>MS</t>
  </si>
  <si>
    <t>wildlife_ecosystem|recreation_tourism|economics_jobs</t>
  </si>
  <si>
    <t>CT</t>
  </si>
  <si>
    <t>OH</t>
  </si>
  <si>
    <t>public_process|economics_jobs</t>
  </si>
  <si>
    <t>IL</t>
  </si>
  <si>
    <t>Kentucky</t>
  </si>
  <si>
    <t>North Carolina</t>
  </si>
  <si>
    <t>water_impacts|recreation_tourism|economics_jobs</t>
  </si>
  <si>
    <t>property_rights</t>
  </si>
  <si>
    <t>MA</t>
  </si>
  <si>
    <t>wildlife_ecosystem|economics_jobs</t>
  </si>
  <si>
    <t>OR</t>
  </si>
  <si>
    <t>economics_jobs|water_impacts</t>
  </si>
  <si>
    <t>wildlife_ecosystem|recreation_tourism|cultural_historic</t>
  </si>
  <si>
    <t>New York</t>
  </si>
  <si>
    <t>property_rights|other</t>
  </si>
  <si>
    <t>climate_energy|safety_risk</t>
  </si>
  <si>
    <t>wildlife_ecosystem|public_process</t>
  </si>
  <si>
    <t>public_process|water_impacts|wildlife_ecosystem</t>
  </si>
  <si>
    <t>IN</t>
  </si>
  <si>
    <t>public_process|climate_energy|safety_risk</t>
  </si>
  <si>
    <t>safety_risk|public_process</t>
  </si>
  <si>
    <t>Virginia</t>
  </si>
  <si>
    <t>public_process|water_impacts</t>
  </si>
  <si>
    <t>public_process|property_rights</t>
  </si>
  <si>
    <t>Louisiana</t>
  </si>
  <si>
    <t>VT</t>
  </si>
  <si>
    <t>public_process|wildlife_ecosystem|recreation_tourism</t>
  </si>
  <si>
    <t>Oklahoma</t>
  </si>
  <si>
    <t>recreation_group</t>
  </si>
  <si>
    <t>wildlife_ecosystem|recreation_tourism|economics_jobs|cultural_historic</t>
  </si>
  <si>
    <t>Wisconsin and Illinois</t>
  </si>
  <si>
    <t>wildlife_ecosystem|public_process|water_impacts</t>
  </si>
  <si>
    <t>CO</t>
  </si>
  <si>
    <t>Michigan</t>
  </si>
  <si>
    <t>water_impacts|wildlife_ecosystem|property_rights</t>
  </si>
  <si>
    <t>climate_energy|property_rights</t>
  </si>
  <si>
    <t>wildlife_ecosystem|property_rights</t>
  </si>
  <si>
    <t>WV</t>
  </si>
  <si>
    <t>water_impacts|safety_risk|property_rights</t>
  </si>
  <si>
    <t>water_impacts|recreation_tourism</t>
  </si>
  <si>
    <t>GA</t>
  </si>
  <si>
    <t>property_rights|cultural_historic</t>
  </si>
  <si>
    <t>wildlife_ecosystem|other</t>
  </si>
  <si>
    <t>water_impacts|wildlife_ecosystem|economics_jobs</t>
  </si>
  <si>
    <t>property_rights|wildlife_ecosystem|safety_risk</t>
  </si>
  <si>
    <t>public_process|water_impacts|property_rights</t>
  </si>
  <si>
    <t>public_process|safety_risk</t>
  </si>
  <si>
    <t>KS</t>
  </si>
  <si>
    <t>safety_risk|property_rights</t>
  </si>
  <si>
    <t>economics_jobs|water_impacts|climate_energy</t>
  </si>
  <si>
    <t>recreation_tourism|other</t>
  </si>
  <si>
    <t>MT</t>
  </si>
  <si>
    <t>MI</t>
  </si>
  <si>
    <t>RI</t>
  </si>
  <si>
    <t>property_rights|safety_risk</t>
  </si>
  <si>
    <t>recreation_tourism|wildlife_ecosystem</t>
  </si>
  <si>
    <t>public_process|wildlife_ecosystem|safety_risk</t>
  </si>
  <si>
    <t>wildlife_ecosystem|recreation_tourism|water_impacts</t>
  </si>
  <si>
    <t>wildlife_ecosystem|water_impacts|recreation_tourism</t>
  </si>
  <si>
    <t>wildlife_ecosystem|property_rights|water_impacts</t>
  </si>
  <si>
    <t>water_impacts|public_process|climate_energy</t>
  </si>
  <si>
    <t>recreation_tourism|water_impacts</t>
  </si>
  <si>
    <t>wildlife_ecosystem|economics_jobs|recreation_tourism</t>
  </si>
  <si>
    <t>NC</t>
  </si>
  <si>
    <t>water_impacts|climate_energy|public_process</t>
  </si>
  <si>
    <t>OK</t>
  </si>
  <si>
    <t>gpt-5.4</t>
  </si>
  <si>
    <t>other|climate_energy|other|economics_jobs</t>
  </si>
  <si>
    <t>other|wildlife_ecosystem|public_process|recreation_tourism|cultural_historic|climate_energy</t>
  </si>
  <si>
    <t>wildlife_ecosystem|public_process|property_rights</t>
  </si>
  <si>
    <t>economics_jobs|grid_reliability</t>
  </si>
  <si>
    <t>grid_reliability|public_process</t>
  </si>
  <si>
    <t>Tennessee</t>
  </si>
  <si>
    <t>other|wildlife_ecosystem|climate_energy</t>
  </si>
  <si>
    <t>other|property_rights|public_process</t>
  </si>
  <si>
    <t>grid_reliability|climate_energy|economics_jobs</t>
  </si>
  <si>
    <t>California</t>
  </si>
  <si>
    <t>economics_jobs|property_rights|other</t>
  </si>
  <si>
    <t>wildlife_ecosystem|public_process|recreation_tourism</t>
  </si>
  <si>
    <t>other|economics_jobs</t>
  </si>
  <si>
    <t>Texas</t>
  </si>
  <si>
    <t>other|other|other</t>
  </si>
  <si>
    <t>other|water_impacts|climate_energy</t>
  </si>
  <si>
    <t>grid_reliability</t>
  </si>
  <si>
    <t>economics_jobs|climate_energy|public_process</t>
  </si>
  <si>
    <t>grid_reliability|economics_jobs</t>
  </si>
  <si>
    <t>other|safety_risk|other|wildlife_ecosystem|cultural_historic|climate_energy|economics_jobs</t>
  </si>
  <si>
    <t>other|wildlife_ecosystem|other</t>
  </si>
  <si>
    <t>other|wildlife_ecosystem</t>
  </si>
  <si>
    <t>grid_reliability|other|economics_jobs</t>
  </si>
  <si>
    <t>other|property_rights</t>
  </si>
  <si>
    <t>Nevada</t>
  </si>
  <si>
    <t>other|public_process|property_rights</t>
  </si>
  <si>
    <t>other|climate_energy</t>
  </si>
  <si>
    <t>other|other|property_rights|economics_jobs</t>
  </si>
  <si>
    <t>other|wildlife_ecosystem|safety_risk|public_process</t>
  </si>
  <si>
    <t>other|wildlife_ecosystem|recreation_tourism|economics_jobs</t>
  </si>
  <si>
    <t>other|other</t>
  </si>
  <si>
    <t>Ohio</t>
  </si>
  <si>
    <t>climate_energy|grid_reliability</t>
  </si>
  <si>
    <t>other|property_rights|climate_energy</t>
  </si>
  <si>
    <t>public_process|cultural_historic</t>
  </si>
  <si>
    <t>economics_jobs|climate_energy|grid_reliability</t>
  </si>
  <si>
    <t>water_impacts|property_rights|wildlife_ecosystem</t>
  </si>
  <si>
    <t>Alaska</t>
  </si>
  <si>
    <t>Washington</t>
  </si>
  <si>
    <t>water_impacts|economics_jobs|climate_energy</t>
  </si>
  <si>
    <t>water_impacts|wildlife_ecosystem|cultural_historic|climate_energy</t>
  </si>
  <si>
    <t>other|grid_reliability</t>
  </si>
  <si>
    <t>Maine</t>
  </si>
  <si>
    <t>public_process|economics_jobs|climate_energy</t>
  </si>
  <si>
    <t>public_process|climate_energy|safety_risk|economics_jobs|other</t>
  </si>
  <si>
    <t>grid_reliability|climate_energy</t>
  </si>
  <si>
    <t>public_process|climate_energy|property_rights</t>
  </si>
  <si>
    <t>grid_reliability|economics_jobs|public_process</t>
  </si>
  <si>
    <t>other|wildlife_ecosystem|public_process</t>
  </si>
  <si>
    <t>other|wildlife_ecosystem|property_rights</t>
  </si>
  <si>
    <t>other|wildlife_ecosystem|public_process|recreation_tourism|economics_jobs</t>
  </si>
  <si>
    <t>other|cultural_historic|public_process</t>
  </si>
  <si>
    <t>public_process|grid_reliability</t>
  </si>
  <si>
    <t>other|public_process</t>
  </si>
  <si>
    <t>other|wildlife_ecosystem|other|economics_jobs</t>
  </si>
  <si>
    <t>other|other|other|cultural_historic</t>
  </si>
  <si>
    <t>other|wildlife_ecosystem|public_process|recreation_tourism</t>
  </si>
  <si>
    <t>wildlife_ecosystem|recreation_tourism|economics_jobs|public_process</t>
  </si>
  <si>
    <t>other|economics_jobs|grid_reliability</t>
  </si>
  <si>
    <t>other|wildlife_ecosystem|property_rights|safety_risk</t>
  </si>
  <si>
    <t>other|wildlife_ecosystem|climate_energy|property_rights</t>
  </si>
  <si>
    <t>wildlife_ecosystem|other|property_rights</t>
  </si>
  <si>
    <t>West Virginia</t>
  </si>
  <si>
    <t>other|other|recreation_tourism</t>
  </si>
  <si>
    <t>other|safety_risk|property_rights</t>
  </si>
  <si>
    <t>safety_risk|economics_jobs|grid_reliability</t>
  </si>
  <si>
    <t>other|other|public_process</t>
  </si>
  <si>
    <t>public_process|wildlife_ecosystem</t>
  </si>
  <si>
    <t>other|economics_jobs|property_rights|recreation_tourism</t>
  </si>
  <si>
    <t>water_impacts|wildlife_ecosystem|public_process|property_rights|recreation_tourism</t>
  </si>
  <si>
    <t>other|wildlife_ecosystem|recreation_tourism</t>
  </si>
  <si>
    <t>other|economics_jobs|climate_energy</t>
  </si>
  <si>
    <t>other|other|cultural_historic|recreation_tourism</t>
  </si>
  <si>
    <t>water_impacts|safety_risk|property_rights|economics_jobs</t>
  </si>
  <si>
    <t>other|wildlife_ecosystem|recreation_tourism|public_process</t>
  </si>
  <si>
    <t>other|wildlife_ecosystem|climate_energy|cultural_historic</t>
  </si>
  <si>
    <t>economics_jobs|climate_energy|other</t>
  </si>
  <si>
    <t>cultural_historic|other</t>
  </si>
  <si>
    <t>other|economics_jobs|property_rights</t>
  </si>
  <si>
    <t>other|other|property_rights|climate_energy</t>
  </si>
  <si>
    <t>water_impacts|wildlife_ecosystem|property_rights|economics_jobs|climate_energy</t>
  </si>
  <si>
    <t>water_impacts|wildlife_ecosystem|property_rights|safety_risk</t>
  </si>
  <si>
    <t>other|safety_risk</t>
  </si>
  <si>
    <t>wildlife_ecosystem|public_process|recreation_tourism|economics_jobs|climate_energy</t>
  </si>
  <si>
    <t>MO</t>
  </si>
  <si>
    <t>climate_energy|economics_jobs|public_process</t>
  </si>
  <si>
    <t>safety_risk|economics_jobs|public_process</t>
  </si>
  <si>
    <t>water_impacts|economics_jobs|property_rights|climate_energy</t>
  </si>
  <si>
    <t>climate_energy|other|wildlife_ecosystem</t>
  </si>
  <si>
    <t>Montana</t>
  </si>
  <si>
    <t>climate_energy|other|wildlife_ecosystem|public_process</t>
  </si>
  <si>
    <t>public_process|other</t>
  </si>
  <si>
    <t>other|wildlife_ecosystem|economics_jobs</t>
  </si>
  <si>
    <t>economics_jobs|grid_reliability|other</t>
  </si>
  <si>
    <t>Rhode Island</t>
  </si>
  <si>
    <t>public_process|grid_reliability|economics_jobs</t>
  </si>
  <si>
    <t>safety_risk|economics_jobs</t>
  </si>
  <si>
    <t>property_rights|economics_jobs|safety_risk</t>
  </si>
  <si>
    <t>public_process|safety_risk|other</t>
  </si>
  <si>
    <t>recreation_tourism|wildlife_ecosystem|water_impacts</t>
  </si>
  <si>
    <t>water_impacts|wildlife_ecosystem|recreation_tourism|property_rights</t>
  </si>
  <si>
    <t>wildlife_ecosystem|water_impacts|public_process|property_rights</t>
  </si>
  <si>
    <t>Connecticut</t>
  </si>
  <si>
    <t>property_rights|economics_jobs</t>
  </si>
  <si>
    <t>economics_jobs|other|climate_energy</t>
  </si>
  <si>
    <t>other|climate_energy|water_impacts</t>
  </si>
  <si>
    <t>other|recreation_tourism|economics_jobs</t>
  </si>
  <si>
    <t>climate_energy|economics_jobs|grid_reliability</t>
  </si>
  <si>
    <t>other|other|economics_jobs|property_rights</t>
  </si>
  <si>
    <t>other|wildlife_ecosystem|recreation_tourism|property_rights</t>
  </si>
  <si>
    <t>claude-opus-4-6</t>
  </si>
  <si>
    <t>economics_jobs|public_process|grid_reliability|other</t>
  </si>
  <si>
    <t>water_impacts|wildlife_ecosystem|safety_risk|recreation_tourism|cultural_historic|public_process</t>
  </si>
  <si>
    <t>water_impacts|wildlife_ecosystem|public_process|property_rights|safety_risk</t>
  </si>
  <si>
    <t>grid_reliability|public_process|other</t>
  </si>
  <si>
    <t>cultural_historic|public_process|other</t>
  </si>
  <si>
    <t>wildlife_ecosystem|climate_energy|other</t>
  </si>
  <si>
    <t>cultural_historic|water_impacts|wildlife_ecosystem|property_rights|public_process</t>
  </si>
  <si>
    <t>economics_jobs|public_process|grid_reliability</t>
  </si>
  <si>
    <t>economics_jobs|public_process|safety_risk|other</t>
  </si>
  <si>
    <t>wildlife_ecosystem|water_impacts|public_process|recreation_tourism</t>
  </si>
  <si>
    <t>wildlife_ecosystem|water_impacts|climate_energy</t>
  </si>
  <si>
    <t>recreation_tourism|public_process</t>
  </si>
  <si>
    <t>wildlife_ecosystem|economics_jobs|water_impacts</t>
  </si>
  <si>
    <t>wildlife_ecosystem|water_impacts|climate_energy|safety_risk</t>
  </si>
  <si>
    <t>public_process|water_impacts|wildlife_ecosystem|climate_energy</t>
  </si>
  <si>
    <t>grid_reliability|climate_energy|economics_jobs|other</t>
  </si>
  <si>
    <t>safety_risk|public_process|wildlife_ecosystem|climate_energy|property_rights|cultural_historic|water_impacts</t>
  </si>
  <si>
    <t>public_process|economics_jobs|grid_reliability|other</t>
  </si>
  <si>
    <t>grid_reliability|economics_jobs|climate_energy</t>
  </si>
  <si>
    <t>wildlife_ecosystem|water_impacts|other</t>
  </si>
  <si>
    <t>grid_reliability|climate_energy|other</t>
  </si>
  <si>
    <t>Maryland</t>
  </si>
  <si>
    <t>public_process|grid_reliability|economics_jobs|climate_energy</t>
  </si>
  <si>
    <t>water_impacts|wildlife_ecosystem|public_process|recreation_tourism|safety_risk</t>
  </si>
  <si>
    <t>safety_risk|wildlife_ecosystem|property_rights|economics_jobs|public_process</t>
  </si>
  <si>
    <t>wildlife_ecosystem|water_impacts|safety_risk|public_process</t>
  </si>
  <si>
    <t>wildlife_ecosystem|water_impacts|recreation_tourism|economics_jobs</t>
  </si>
  <si>
    <t>water_impacts|climate_energy|wildlife_ecosystem</t>
  </si>
  <si>
    <t>public_process|economics_jobs|climate_energy|safety_risk</t>
  </si>
  <si>
    <t>public_process|water_impacts|wildlife_ecosystem|property_rights|climate_energy</t>
  </si>
  <si>
    <t>grid_reliability|climate_energy|public_process|other</t>
  </si>
  <si>
    <t>New Mexico</t>
  </si>
  <si>
    <t>wildlife_ecosystem|water_impacts|economics_jobs|public_process</t>
  </si>
  <si>
    <t>water_impacts|recreation_tourism|wildlife_ecosystem</t>
  </si>
  <si>
    <t>AK</t>
  </si>
  <si>
    <t>public_process|economics_jobs|grid_reliability</t>
  </si>
  <si>
    <t>economics_jobs|wildlife_ecosystem|water_impacts</t>
  </si>
  <si>
    <t>water_impacts|wildlife_ecosystem|public_process|cultural_historic</t>
  </si>
  <si>
    <t>economics_jobs|water_impacts|climate_energy|safety_risk</t>
  </si>
  <si>
    <t>wildlife_ecosystem|water_impacts|recreation_tourism|cultural_historic|climate_energy</t>
  </si>
  <si>
    <t>SC</t>
  </si>
  <si>
    <t>property_rights|public_process|other</t>
  </si>
  <si>
    <t>public_process|water_impacts|wildlife_ecosystem|property_rights</t>
  </si>
  <si>
    <t>public_process|climate_energy|economics_jobs|grid_reliability</t>
  </si>
  <si>
    <t>economics_jobs|public_process|climate_energy|grid_reliability</t>
  </si>
  <si>
    <t>climate_energy|safety_risk|public_process|water_impacts|economics_jobs</t>
  </si>
  <si>
    <t>safety_risk|public_process|water_impacts</t>
  </si>
  <si>
    <t>climate_energy|economics_jobs|safety_risk</t>
  </si>
  <si>
    <t>grid_reliability|economics_jobs|other|climate_energy</t>
  </si>
  <si>
    <t>grid_reliability|other</t>
  </si>
  <si>
    <t>public_process|water_impacts|climate_energy</t>
  </si>
  <si>
    <t>other|property_rights|climate_energy|other</t>
  </si>
  <si>
    <t>economics_jobs|grid_reliability|public_process</t>
  </si>
  <si>
    <t>recreation_tourism|water_impacts|economics_jobs</t>
  </si>
  <si>
    <t>climate_energy|water_impacts|wildlife_ecosystem</t>
  </si>
  <si>
    <t>water_impacts|wildlife_ecosystem|public_process|grid_reliability</t>
  </si>
  <si>
    <t>public_process|wildlife_ecosystem|recreation_tourism|economics_jobs|water_impacts</t>
  </si>
  <si>
    <t>recreation_tourism|water_impacts|cultural_historic</t>
  </si>
  <si>
    <t>wildlife_ecosystem|water_impacts|recreation_tourism|cultural_historic|economics_jobs</t>
  </si>
  <si>
    <t>wildlife_ecosystem|property_rights|public_process</t>
  </si>
  <si>
    <t>safety_risk|water_impacts|public_process</t>
  </si>
  <si>
    <t>wildlife_ecosystem|public_process|water_impacts|other</t>
  </si>
  <si>
    <t>public_process|property_rights|water_impacts|climate_energy</t>
  </si>
  <si>
    <t>grid_reliability|climate_energy|water_impacts</t>
  </si>
  <si>
    <t>wildlife_ecosystem|water_impacts|public_process|recreation_tourism|safety_risk</t>
  </si>
  <si>
    <t>wildlife_ecosystem|economics_jobs|public_process</t>
  </si>
  <si>
    <t>wildlife_ecosystem|water_impacts|recreation_tourism|economics_jobs|public_process</t>
  </si>
  <si>
    <t>public_process|economics_jobs|climate_energy|grid_reliability</t>
  </si>
  <si>
    <t>economics_jobs|public_process|other</t>
  </si>
  <si>
    <t>property_rights|wildlife_ecosystem|water_impacts|safety_risk|public_process</t>
  </si>
  <si>
    <t>wildlife_ecosystem|water_impacts|climate_energy|property_rights|safety_risk</t>
  </si>
  <si>
    <t>property_rights|wildlife_ecosystem|water_impacts|public_process</t>
  </si>
  <si>
    <t>ID</t>
  </si>
  <si>
    <t>safety_risk|water_impacts|property_rights</t>
  </si>
  <si>
    <t>public_process|safety_risk|economics_jobs</t>
  </si>
  <si>
    <t>wildlife_ecosystem|public_process|other</t>
  </si>
  <si>
    <t>economics_jobs|water_impacts|property_rights|safety_risk|public_process</t>
  </si>
  <si>
    <t>economics_jobs|water_impacts|wildlife_ecosystem|public_process</t>
  </si>
  <si>
    <t>water_impacts|wildlife_ecosystem|cultural_historic</t>
  </si>
  <si>
    <t>water_impacts|safety_risk|property_rights|economics_jobs|public_process</t>
  </si>
  <si>
    <t>wildlife_ecosystem|water_impacts|cultural_historic|climate_energy</t>
  </si>
  <si>
    <t>DC</t>
  </si>
  <si>
    <t>public_process|water_impacts|wildlife_ecosystem|other</t>
  </si>
  <si>
    <t>economics_jobs|wildlife_ecosystem|safety_risk|other</t>
  </si>
  <si>
    <t>property_rights|cultural_historic|other</t>
  </si>
  <si>
    <t>economics_jobs|water_impacts|public_process|safety_risk|other</t>
  </si>
  <si>
    <t>water_impacts|wildlife_ecosystem|recreation_tourism|cultural_historic</t>
  </si>
  <si>
    <t>public_process|economics_jobs|other</t>
  </si>
  <si>
    <t>safety_risk|water_impacts|wildlife_ecosystem|climate_energy|property_rights</t>
  </si>
  <si>
    <t>wildlife_ecosystem|water_impacts|recreation_tourism|public_process</t>
  </si>
  <si>
    <t>wildlife_ecosystem|water_impacts|economics_jobs|climate_energy|public_process</t>
  </si>
  <si>
    <t>property_rights|safety_risk|water_impacts|wildlife_ecosystem|other</t>
  </si>
  <si>
    <t>economics_jobs|grid_reliability|public_process|climate_energy</t>
  </si>
  <si>
    <t>safety_risk|other</t>
  </si>
  <si>
    <t>climate_energy|other</t>
  </si>
  <si>
    <t>safety_risk|water_impacts|wildlife_ecosystem</t>
  </si>
  <si>
    <t>wildlife_ecosystem|water_impacts|recreation_tourism|economics_jobs|public_process|climate_energy</t>
  </si>
  <si>
    <t>wildlife_ecosystem|water_impacts|climate_energy|economics_jobs</t>
  </si>
  <si>
    <t>safety_risk|public_process|wildlife_ecosystem|water_impacts</t>
  </si>
  <si>
    <t>economics_jobs|climate_energy|public_process|grid_reliability</t>
  </si>
  <si>
    <t>safety_risk|wildlife_ecosystem|property_rights|climate_energy</t>
  </si>
  <si>
    <t>water_impacts|wildlife_ecosystem|safety_risk|climate_energy|other</t>
  </si>
  <si>
    <t>economics_jobs|water_impacts|climate_energy|property_rights|safety_risk</t>
  </si>
  <si>
    <t>public_process|climate_energy|safety_risk|economics_jobs</t>
  </si>
  <si>
    <t>cultural_historic|public_process|safety_risk</t>
  </si>
  <si>
    <t>economics_jobs|public_process|safety_risk|water_impacts</t>
  </si>
  <si>
    <t>economics_jobs|climate_energy|wildlife_ecosystem|other</t>
  </si>
  <si>
    <t>recreation_tourism|water_impacts|public_process</t>
  </si>
  <si>
    <t>climate_energy|wildlife_ecosystem|public_process|safety_risk|other</t>
  </si>
  <si>
    <t>wildlife_ecosystem|public_process|water_impacts|safety_risk</t>
  </si>
  <si>
    <t>water_impacts|wildlife_ecosystem|recreation_tourism|public_process</t>
  </si>
  <si>
    <t>climate_energy|safety_risk|public_process|wildlife_ecosystem</t>
  </si>
  <si>
    <t>economics_jobs|grid_reliability|public_process|safety_risk</t>
  </si>
  <si>
    <t>grid_reliability|other|economics_jobs|climate_energy</t>
  </si>
  <si>
    <t>grid_reliability|climate_energy|economics_jobs|public_process</t>
  </si>
  <si>
    <t>safety_risk|property_rights|climate_energy</t>
  </si>
  <si>
    <t>water_impacts|property_rights|recreation_tourism|safety_risk|economics_jobs</t>
  </si>
  <si>
    <t>public_process|wildlife_ecosystem|safety_risk|water_impacts</t>
  </si>
  <si>
    <t>wildlife_ecosystem|recreation_tourism|water_impacts|public_process</t>
  </si>
  <si>
    <t>water_impacts|property_rights|public_process|safety_risk</t>
  </si>
  <si>
    <t>wildlife_ecosystem|water_impacts|recreation_tourism|safety_risk</t>
  </si>
  <si>
    <t>wildlife_ecosystem|property_rights|water_impacts|public_process|other</t>
  </si>
  <si>
    <t>public_process|water_impacts|wildlife_ecosystem|recreation_tourism</t>
  </si>
  <si>
    <t>economics_jobs|wildlife_ecosystem|recreation_tourism|safety_risk</t>
  </si>
  <si>
    <t>public_process|water_impacts|climate_energy|wildlife_ecosystem</t>
  </si>
  <si>
    <t>recreation_tourism|water_impacts|wildlife_ecosystem|public_process</t>
  </si>
  <si>
    <t>wildlife_ecosystem|property_rights|public_process|other</t>
  </si>
  <si>
    <t>wildlife_ecosystem|water_impacts|public_process|safety_risk</t>
  </si>
  <si>
    <t>wildlife_ecosystem|economics_jobs|recreation_tourism|climate_energy</t>
  </si>
  <si>
    <t>public_process|climate_energy|water_impacts</t>
  </si>
  <si>
    <t>wildlife_ecosystem|water_impacts|recreation_tourism|property_rights</t>
  </si>
  <si>
    <t>climate_energy|water_impacts|public_process|wildlife_ecosystem</t>
  </si>
  <si>
    <t>wildlife_ecosystem|safety_risk|public_process</t>
  </si>
  <si>
    <t>Neutral</t>
  </si>
  <si>
    <t>Unknown</t>
  </si>
  <si>
    <t>Support with Changes</t>
  </si>
  <si>
    <t>hydropower</t>
  </si>
  <si>
    <t>Oppose</t>
  </si>
  <si>
    <t>electric_transmission</t>
  </si>
  <si>
    <t>Support</t>
  </si>
  <si>
    <t xml:space="preserve">FL </t>
  </si>
  <si>
    <t>MD</t>
  </si>
  <si>
    <t>south</t>
  </si>
  <si>
    <t>natural_gas_pipeline</t>
  </si>
  <si>
    <t xml:space="preserve">KY </t>
  </si>
  <si>
    <t>lng_terminal</t>
  </si>
  <si>
    <t>Midwest</t>
  </si>
  <si>
    <t xml:space="preserve"> northeast</t>
  </si>
  <si>
    <t>US</t>
  </si>
  <si>
    <t>national</t>
  </si>
  <si>
    <t>Northeast</t>
  </si>
  <si>
    <t>west</t>
  </si>
  <si>
    <t>legal reglatory</t>
  </si>
  <si>
    <t>solar</t>
  </si>
  <si>
    <t>market_rate</t>
  </si>
  <si>
    <t>Northwest</t>
  </si>
  <si>
    <t>South_Central</t>
  </si>
  <si>
    <t>NE</t>
  </si>
  <si>
    <t>Southwest</t>
  </si>
  <si>
    <t>oil_pipeline</t>
  </si>
  <si>
    <t>organization</t>
  </si>
  <si>
    <t>Southeast</t>
  </si>
  <si>
    <t>MN</t>
  </si>
  <si>
    <t>East</t>
  </si>
  <si>
    <t>Manually Identified Stance</t>
  </si>
  <si>
    <t>Number Correct</t>
  </si>
  <si>
    <t>Total Number of Manually Identified Entries</t>
  </si>
  <si>
    <t>Recall (%)</t>
  </si>
  <si>
    <t>Total</t>
  </si>
  <si>
    <t>Error Tracing: Accuracy by Document Type Mismatch Status</t>
  </si>
  <si>
    <t>Comparing model accuracy when llm_document_type matches vs. mismatches llm_model_document_type</t>
  </si>
  <si>
    <t>NO MISMATCH (llm_doctype_mismatch = 0)</t>
  </si>
  <si>
    <t>gemini-3.1-pro-preview (No Mismatch: 189 entries)</t>
  </si>
  <si>
    <t>gpt-5.4 (No Mismatch: 156 entries)</t>
  </si>
  <si>
    <t>claude-opus-4-6 (No Mismatch: 200 entries)</t>
  </si>
  <si>
    <t>MISMATCH (llm_doctype_mismatch = 1)</t>
  </si>
  <si>
    <t>gemini-3.1-pro-preview (Mismatch: 51 entries)</t>
  </si>
  <si>
    <t>gpt-5.4 (Mismatch: 84 entries)</t>
  </si>
  <si>
    <t>claude-opus-4-6 (Mismatch: 40 entries)</t>
  </si>
  <si>
    <t>N/A</t>
  </si>
  <si>
    <t>SUMMARY: Overall Recall Comparison</t>
  </si>
  <si>
    <t>Model</t>
  </si>
  <si>
    <t>No Mismatch Recall</t>
  </si>
  <si>
    <t>Mismatch Recall</t>
  </si>
  <si>
    <t>Difference (No Mismatch − Mismatch)</t>
  </si>
  <si>
    <t>Mismatch Count</t>
  </si>
  <si>
    <t>No Mismatch Count</t>
  </si>
  <si>
    <t>KEY FINDINGS:</t>
  </si>
  <si>
    <t>1. When there's a document type mismatch, all models heavily default to predicting 'Neutral' (mapped as neutral_informative), inflating Neutral recall but collapsing recall for all other stances.</t>
  </si>
  <si>
    <t>2. GPT-5.4 is most affected: 84 mismatches (35% of entries) with 0% recall on Oppose and Support with Changes in mismatch cases, and overall mismatch recall drops to 44.6%.</t>
  </si>
  <si>
    <t>3. Claude-opus-4-6 has the fewest mismatches (40, 17%) and maintains the highest No-Mismatch Oppose recall (97.6%), but still shows 0% Neutral recall in no-mismatch cases.</t>
  </si>
  <si>
    <t>4. Gemini shows relatively balanced performance: mismatch barely affects overall recall (−1.5pp), though individual stance accuracy shifts significantly.</t>
  </si>
  <si>
    <t>Feedback Theme</t>
  </si>
  <si>
    <t>Project Type</t>
  </si>
  <si>
    <t>Commenter Type</t>
  </si>
  <si>
    <t>Project State</t>
  </si>
  <si>
    <t>Project Region</t>
  </si>
  <si>
    <t>West</t>
  </si>
  <si>
    <t>multiple states</t>
  </si>
  <si>
    <t>organziation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</si>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</sst>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b/>
      <sz val="10"/>
      <color theme="1"/>
      <name val="Helvetica Neue"/>
      <family val="2"/>
    </font>
    <font>
      <sz val="12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2" borderId="1" xfId="0" applyFont="1" applyFill="1" applyBorder="1"/>
    <xf numFmtId="0" fontId="0" fillId="0" borderId="1" xfId="0" applyBorder="1"/>
    <xf numFmtId="0" fontId="0" fillId="0" borderId="2" xfId="0" applyBorder="1"/>
    <xf numFmtId="0" fontId="8" fillId="0" borderId="3" xfId="0" applyFon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0" xfId="0" applyFont="1"/>
    <xf numFmtId="0" fontId="2" fillId="3" borderId="0" xfId="0" applyFont="1" applyFill="1"/>
    <xf numFmtId="0" fontId="8" fillId="0" borderId="0" xfId="0" applyFont="1"/>
    <xf numFmtId="0" fontId="8" fillId="4" borderId="0" xfId="0" applyFont="1" applyFill="1"/>
    <xf numFmtId="164" fontId="0" fillId="0" borderId="0" xfId="0" applyNumberFormat="1"/>
    <xf numFmtId="164" fontId="8" fillId="0" borderId="0" xfId="0" applyNumberFormat="1" applyFont="1"/>
    <xf numFmtId="0" fontId="2" fillId="5" borderId="0" xfId="0" applyFont="1" applyFill="1"/>
    <xf numFmtId="0" fontId="8" fillId="5" borderId="0" xfId="0" applyFont="1" applyFill="1"/>
    <xf numFmtId="0" fontId="2" fillId="6" borderId="0" xfId="0" applyFont="1" applyFill="1"/>
    <xf numFmtId="164" fontId="0" fillId="0" borderId="1" xfId="0" applyNumberFormat="1" applyBorder="1"/>
    <xf numFmtId="0" fontId="8" fillId="3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774297-0723-2744-B0C5-47343D9EEE1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b43e100-6fcb-4302-b0a7-aef9ed80b5e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workbookViewId="0">
      <selection sqref="A1:L1048576"/>
    </sheetView>
  </sheetViews>
  <sheetFormatPr baseColWidth="10" defaultColWidth="8.83203125" defaultRowHeight="15" x14ac:dyDescent="0.2"/>
  <cols>
    <col min="1" max="12" width="45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5699</v>
      </c>
      <c r="B2" t="s">
        <v>11</v>
      </c>
      <c r="C2" t="s">
        <v>12</v>
      </c>
      <c r="D2" t="s">
        <v>12</v>
      </c>
      <c r="E2">
        <v>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">
      <c r="A3">
        <v>4699</v>
      </c>
      <c r="B3" t="s">
        <v>11</v>
      </c>
      <c r="C3" t="s">
        <v>19</v>
      </c>
      <c r="D3" t="s">
        <v>20</v>
      </c>
      <c r="E3">
        <v>1</v>
      </c>
      <c r="F3" t="s">
        <v>392</v>
      </c>
      <c r="G3" t="s">
        <v>21</v>
      </c>
      <c r="H3" t="s">
        <v>22</v>
      </c>
      <c r="I3" t="s">
        <v>23</v>
      </c>
      <c r="J3" t="s">
        <v>24</v>
      </c>
      <c r="K3" t="s">
        <v>24</v>
      </c>
    </row>
    <row r="4" spans="1:11" x14ac:dyDescent="0.2">
      <c r="A4">
        <v>9753</v>
      </c>
      <c r="B4" t="s">
        <v>11</v>
      </c>
      <c r="C4" t="s">
        <v>19</v>
      </c>
      <c r="D4" t="s">
        <v>19</v>
      </c>
      <c r="E4">
        <v>0</v>
      </c>
      <c r="F4" t="s">
        <v>394</v>
      </c>
      <c r="G4" t="s">
        <v>21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2">
      <c r="A5">
        <v>3658</v>
      </c>
      <c r="B5" t="s">
        <v>11</v>
      </c>
      <c r="C5" t="s">
        <v>12</v>
      </c>
      <c r="D5" t="s">
        <v>12</v>
      </c>
      <c r="E5">
        <v>0</v>
      </c>
      <c r="F5" t="s">
        <v>13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</row>
    <row r="6" spans="1:11" x14ac:dyDescent="0.2">
      <c r="A6">
        <v>7316</v>
      </c>
      <c r="B6" t="s">
        <v>11</v>
      </c>
      <c r="C6" t="s">
        <v>12</v>
      </c>
      <c r="D6" t="s">
        <v>12</v>
      </c>
      <c r="E6">
        <v>0</v>
      </c>
      <c r="F6" t="s">
        <v>13</v>
      </c>
      <c r="G6" t="s">
        <v>29</v>
      </c>
      <c r="I6" t="s">
        <v>31</v>
      </c>
      <c r="J6" t="s">
        <v>24</v>
      </c>
      <c r="K6" t="s">
        <v>24</v>
      </c>
    </row>
    <row r="7" spans="1:11" x14ac:dyDescent="0.2">
      <c r="A7">
        <v>3504</v>
      </c>
      <c r="B7" t="s">
        <v>11</v>
      </c>
      <c r="C7" t="s">
        <v>12</v>
      </c>
      <c r="D7" t="s">
        <v>12</v>
      </c>
      <c r="E7">
        <v>0</v>
      </c>
      <c r="F7" t="s">
        <v>34</v>
      </c>
      <c r="G7" t="s">
        <v>14</v>
      </c>
      <c r="I7" t="s">
        <v>31</v>
      </c>
      <c r="J7" t="s">
        <v>17</v>
      </c>
      <c r="K7" t="s">
        <v>35</v>
      </c>
    </row>
    <row r="8" spans="1:11" x14ac:dyDescent="0.2">
      <c r="A8">
        <v>2910</v>
      </c>
      <c r="B8" t="s">
        <v>11</v>
      </c>
      <c r="C8" t="s">
        <v>12</v>
      </c>
      <c r="D8" t="s">
        <v>12</v>
      </c>
      <c r="E8">
        <v>0</v>
      </c>
      <c r="F8" t="s">
        <v>13</v>
      </c>
      <c r="G8" t="s">
        <v>14</v>
      </c>
      <c r="I8" t="s">
        <v>31</v>
      </c>
      <c r="J8" t="s">
        <v>24</v>
      </c>
      <c r="K8" t="s">
        <v>36</v>
      </c>
    </row>
    <row r="9" spans="1:11" x14ac:dyDescent="0.2">
      <c r="A9">
        <v>3227</v>
      </c>
      <c r="B9" t="s">
        <v>11</v>
      </c>
      <c r="C9" t="s">
        <v>12</v>
      </c>
      <c r="D9" t="s">
        <v>12</v>
      </c>
      <c r="E9">
        <v>0</v>
      </c>
      <c r="F9" t="s">
        <v>394</v>
      </c>
      <c r="G9" t="s">
        <v>29</v>
      </c>
      <c r="I9" t="s">
        <v>37</v>
      </c>
      <c r="J9" t="s">
        <v>38</v>
      </c>
      <c r="K9" t="s">
        <v>38</v>
      </c>
    </row>
    <row r="10" spans="1:11" x14ac:dyDescent="0.2">
      <c r="A10">
        <v>5810</v>
      </c>
      <c r="B10" t="s">
        <v>11</v>
      </c>
      <c r="C10" t="s">
        <v>12</v>
      </c>
      <c r="D10" t="s">
        <v>12</v>
      </c>
      <c r="E10">
        <v>0</v>
      </c>
      <c r="F10" t="s">
        <v>394</v>
      </c>
      <c r="G10" t="s">
        <v>14</v>
      </c>
      <c r="H10" t="s">
        <v>39</v>
      </c>
      <c r="I10" t="s">
        <v>23</v>
      </c>
      <c r="J10" t="s">
        <v>40</v>
      </c>
      <c r="K10" t="s">
        <v>41</v>
      </c>
    </row>
    <row r="11" spans="1:11" x14ac:dyDescent="0.2">
      <c r="A11">
        <v>6468</v>
      </c>
      <c r="B11" t="s">
        <v>11</v>
      </c>
      <c r="C11" t="s">
        <v>19</v>
      </c>
      <c r="D11" t="s">
        <v>20</v>
      </c>
      <c r="E11">
        <v>1</v>
      </c>
      <c r="F11" t="s">
        <v>392</v>
      </c>
      <c r="G11" t="s">
        <v>21</v>
      </c>
      <c r="H11" t="s">
        <v>42</v>
      </c>
      <c r="I11" t="s">
        <v>43</v>
      </c>
      <c r="J11" t="s">
        <v>24</v>
      </c>
      <c r="K11" t="s">
        <v>41</v>
      </c>
    </row>
    <row r="12" spans="1:11" x14ac:dyDescent="0.2">
      <c r="A12">
        <v>10180</v>
      </c>
      <c r="B12" t="s">
        <v>11</v>
      </c>
      <c r="C12" t="s">
        <v>12</v>
      </c>
      <c r="D12" t="s">
        <v>12</v>
      </c>
      <c r="E12">
        <v>0</v>
      </c>
      <c r="F12" t="s">
        <v>13</v>
      </c>
      <c r="G12" t="s">
        <v>29</v>
      </c>
      <c r="I12" t="s">
        <v>23</v>
      </c>
      <c r="J12" t="s">
        <v>38</v>
      </c>
      <c r="K12" t="s">
        <v>44</v>
      </c>
    </row>
    <row r="13" spans="1:11" x14ac:dyDescent="0.2">
      <c r="A13">
        <v>7264</v>
      </c>
      <c r="B13" t="s">
        <v>11</v>
      </c>
      <c r="C13" t="s">
        <v>12</v>
      </c>
      <c r="D13" t="s">
        <v>12</v>
      </c>
      <c r="E13">
        <v>0</v>
      </c>
      <c r="F13" t="s">
        <v>394</v>
      </c>
      <c r="G13" t="s">
        <v>45</v>
      </c>
      <c r="H13" t="s">
        <v>46</v>
      </c>
      <c r="I13" t="s">
        <v>43</v>
      </c>
      <c r="J13" t="s">
        <v>40</v>
      </c>
      <c r="K13" t="s">
        <v>47</v>
      </c>
    </row>
    <row r="14" spans="1:11" x14ac:dyDescent="0.2">
      <c r="A14">
        <v>9707</v>
      </c>
      <c r="B14" t="s">
        <v>11</v>
      </c>
      <c r="C14" t="s">
        <v>12</v>
      </c>
      <c r="D14" t="s">
        <v>12</v>
      </c>
      <c r="E14">
        <v>0</v>
      </c>
      <c r="F14" t="s">
        <v>34</v>
      </c>
      <c r="G14" t="s">
        <v>21</v>
      </c>
      <c r="H14" t="s">
        <v>46</v>
      </c>
      <c r="I14" t="s">
        <v>43</v>
      </c>
      <c r="J14" t="s">
        <v>48</v>
      </c>
      <c r="K14" t="s">
        <v>35</v>
      </c>
    </row>
    <row r="15" spans="1:11" x14ac:dyDescent="0.2">
      <c r="A15">
        <v>4866</v>
      </c>
      <c r="B15" t="s">
        <v>11</v>
      </c>
      <c r="C15" t="s">
        <v>12</v>
      </c>
      <c r="D15" t="s">
        <v>12</v>
      </c>
      <c r="E15">
        <v>0</v>
      </c>
      <c r="F15" t="s">
        <v>394</v>
      </c>
      <c r="G15" t="s">
        <v>21</v>
      </c>
      <c r="H15" t="s">
        <v>49</v>
      </c>
      <c r="I15" t="s">
        <v>16</v>
      </c>
      <c r="J15" t="s">
        <v>17</v>
      </c>
      <c r="K15" t="s">
        <v>50</v>
      </c>
    </row>
    <row r="16" spans="1:11" x14ac:dyDescent="0.2">
      <c r="A16">
        <v>3280</v>
      </c>
      <c r="B16" t="s">
        <v>11</v>
      </c>
      <c r="C16" t="s">
        <v>12</v>
      </c>
      <c r="D16" t="s">
        <v>12</v>
      </c>
      <c r="E16">
        <v>0</v>
      </c>
      <c r="F16" t="s">
        <v>34</v>
      </c>
      <c r="G16" t="s">
        <v>29</v>
      </c>
      <c r="H16" t="s">
        <v>51</v>
      </c>
      <c r="I16" t="s">
        <v>52</v>
      </c>
      <c r="J16" t="s">
        <v>17</v>
      </c>
      <c r="K16" t="s">
        <v>17</v>
      </c>
    </row>
    <row r="17" spans="1:11" x14ac:dyDescent="0.2">
      <c r="A17">
        <v>2307</v>
      </c>
      <c r="B17" t="s">
        <v>11</v>
      </c>
      <c r="C17" t="s">
        <v>12</v>
      </c>
      <c r="D17" t="s">
        <v>12</v>
      </c>
      <c r="E17">
        <v>0</v>
      </c>
      <c r="F17" t="s">
        <v>394</v>
      </c>
      <c r="G17" t="s">
        <v>14</v>
      </c>
      <c r="H17" t="s">
        <v>49</v>
      </c>
      <c r="I17" t="s">
        <v>16</v>
      </c>
      <c r="J17" t="s">
        <v>38</v>
      </c>
      <c r="K17" t="s">
        <v>53</v>
      </c>
    </row>
    <row r="18" spans="1:11" x14ac:dyDescent="0.2">
      <c r="A18">
        <v>5174</v>
      </c>
      <c r="B18" t="s">
        <v>11</v>
      </c>
      <c r="C18" t="s">
        <v>12</v>
      </c>
      <c r="D18" t="s">
        <v>12</v>
      </c>
      <c r="E18">
        <v>0</v>
      </c>
      <c r="F18" t="s">
        <v>13</v>
      </c>
      <c r="G18" t="s">
        <v>29</v>
      </c>
      <c r="I18" t="s">
        <v>31</v>
      </c>
      <c r="J18" t="s">
        <v>38</v>
      </c>
      <c r="K18" t="s">
        <v>54</v>
      </c>
    </row>
    <row r="19" spans="1:11" x14ac:dyDescent="0.2">
      <c r="A19">
        <v>5807</v>
      </c>
      <c r="B19" t="s">
        <v>11</v>
      </c>
      <c r="C19" t="s">
        <v>12</v>
      </c>
      <c r="D19" t="s">
        <v>12</v>
      </c>
      <c r="E19">
        <v>0</v>
      </c>
      <c r="F19" t="s">
        <v>394</v>
      </c>
      <c r="G19" t="s">
        <v>29</v>
      </c>
      <c r="I19" t="s">
        <v>31</v>
      </c>
      <c r="J19" t="s">
        <v>55</v>
      </c>
      <c r="K19" t="s">
        <v>55</v>
      </c>
    </row>
    <row r="20" spans="1:11" x14ac:dyDescent="0.2">
      <c r="A20">
        <v>5844</v>
      </c>
      <c r="B20" t="s">
        <v>11</v>
      </c>
      <c r="C20" t="s">
        <v>12</v>
      </c>
      <c r="D20" t="s">
        <v>20</v>
      </c>
      <c r="E20">
        <v>1</v>
      </c>
      <c r="F20" t="s">
        <v>392</v>
      </c>
      <c r="G20" t="s">
        <v>21</v>
      </c>
      <c r="I20" t="s">
        <v>31</v>
      </c>
      <c r="J20" t="s">
        <v>24</v>
      </c>
      <c r="K20" t="s">
        <v>24</v>
      </c>
    </row>
    <row r="21" spans="1:11" x14ac:dyDescent="0.2">
      <c r="A21">
        <v>2969</v>
      </c>
      <c r="B21" t="s">
        <v>11</v>
      </c>
      <c r="C21" t="s">
        <v>12</v>
      </c>
      <c r="D21" t="s">
        <v>12</v>
      </c>
      <c r="E21">
        <v>0</v>
      </c>
      <c r="F21" t="s">
        <v>34</v>
      </c>
      <c r="G21" t="s">
        <v>56</v>
      </c>
      <c r="I21" t="s">
        <v>23</v>
      </c>
      <c r="J21" t="s">
        <v>24</v>
      </c>
      <c r="K21" t="s">
        <v>24</v>
      </c>
    </row>
    <row r="22" spans="1:11" x14ac:dyDescent="0.2">
      <c r="A22">
        <v>8401</v>
      </c>
      <c r="B22" t="s">
        <v>11</v>
      </c>
      <c r="C22" t="s">
        <v>12</v>
      </c>
      <c r="D22" t="s">
        <v>12</v>
      </c>
      <c r="E22">
        <v>0</v>
      </c>
      <c r="F22" t="s">
        <v>34</v>
      </c>
      <c r="G22" t="s">
        <v>29</v>
      </c>
      <c r="H22" t="s">
        <v>57</v>
      </c>
      <c r="I22" t="s">
        <v>31</v>
      </c>
      <c r="J22" t="s">
        <v>38</v>
      </c>
      <c r="K22" t="s">
        <v>54</v>
      </c>
    </row>
    <row r="23" spans="1:11" x14ac:dyDescent="0.2">
      <c r="A23">
        <v>3747</v>
      </c>
      <c r="B23" t="s">
        <v>11</v>
      </c>
      <c r="C23" t="s">
        <v>19</v>
      </c>
      <c r="D23" t="s">
        <v>19</v>
      </c>
      <c r="E23">
        <v>0</v>
      </c>
      <c r="F23" t="s">
        <v>392</v>
      </c>
      <c r="G23" t="s">
        <v>21</v>
      </c>
      <c r="H23" t="s">
        <v>58</v>
      </c>
      <c r="I23" t="s">
        <v>52</v>
      </c>
      <c r="J23" t="s">
        <v>38</v>
      </c>
      <c r="K23" t="s">
        <v>59</v>
      </c>
    </row>
    <row r="24" spans="1:11" x14ac:dyDescent="0.2">
      <c r="A24">
        <v>761</v>
      </c>
      <c r="B24" t="s">
        <v>11</v>
      </c>
      <c r="C24" t="s">
        <v>12</v>
      </c>
      <c r="D24" t="s">
        <v>12</v>
      </c>
      <c r="E24">
        <v>0</v>
      </c>
      <c r="F24" t="s">
        <v>34</v>
      </c>
      <c r="G24" t="s">
        <v>56</v>
      </c>
      <c r="H24" t="s">
        <v>60</v>
      </c>
      <c r="I24" t="s">
        <v>43</v>
      </c>
      <c r="J24" t="s">
        <v>17</v>
      </c>
      <c r="K24" t="s">
        <v>17</v>
      </c>
    </row>
    <row r="25" spans="1:11" x14ac:dyDescent="0.2">
      <c r="A25">
        <v>5344</v>
      </c>
      <c r="B25" t="s">
        <v>11</v>
      </c>
      <c r="C25" t="s">
        <v>12</v>
      </c>
      <c r="D25" t="s">
        <v>12</v>
      </c>
      <c r="E25">
        <v>0</v>
      </c>
      <c r="F25" t="s">
        <v>13</v>
      </c>
      <c r="G25" t="s">
        <v>29</v>
      </c>
      <c r="H25" t="s">
        <v>61</v>
      </c>
      <c r="I25" t="s">
        <v>31</v>
      </c>
      <c r="J25" t="s">
        <v>24</v>
      </c>
      <c r="K25" t="s">
        <v>62</v>
      </c>
    </row>
    <row r="26" spans="1:11" x14ac:dyDescent="0.2">
      <c r="A26">
        <v>729</v>
      </c>
      <c r="B26" t="s">
        <v>11</v>
      </c>
      <c r="C26" t="s">
        <v>12</v>
      </c>
      <c r="D26" t="s">
        <v>20</v>
      </c>
      <c r="E26">
        <v>1</v>
      </c>
      <c r="F26" t="s">
        <v>392</v>
      </c>
      <c r="G26" t="s">
        <v>37</v>
      </c>
      <c r="I26" t="s">
        <v>37</v>
      </c>
      <c r="J26" t="s">
        <v>48</v>
      </c>
      <c r="K26" t="s">
        <v>63</v>
      </c>
    </row>
    <row r="27" spans="1:11" x14ac:dyDescent="0.2">
      <c r="A27">
        <v>2782</v>
      </c>
      <c r="B27" t="s">
        <v>11</v>
      </c>
      <c r="C27" t="s">
        <v>12</v>
      </c>
      <c r="D27" t="s">
        <v>20</v>
      </c>
      <c r="E27">
        <v>1</v>
      </c>
      <c r="F27" t="s">
        <v>392</v>
      </c>
      <c r="G27" t="s">
        <v>56</v>
      </c>
      <c r="I27" t="s">
        <v>23</v>
      </c>
      <c r="J27" t="s">
        <v>24</v>
      </c>
      <c r="K27" t="s">
        <v>24</v>
      </c>
    </row>
    <row r="28" spans="1:11" x14ac:dyDescent="0.2">
      <c r="A28">
        <v>951</v>
      </c>
      <c r="B28" t="s">
        <v>11</v>
      </c>
      <c r="C28" t="s">
        <v>12</v>
      </c>
      <c r="D28" t="s">
        <v>12</v>
      </c>
      <c r="E28">
        <v>0</v>
      </c>
      <c r="F28" t="s">
        <v>13</v>
      </c>
      <c r="G28" t="s">
        <v>45</v>
      </c>
      <c r="H28" t="s">
        <v>46</v>
      </c>
      <c r="I28" t="s">
        <v>43</v>
      </c>
      <c r="J28" t="s">
        <v>27</v>
      </c>
      <c r="K28" t="s">
        <v>64</v>
      </c>
    </row>
    <row r="29" spans="1:11" x14ac:dyDescent="0.2">
      <c r="A29">
        <v>9370</v>
      </c>
      <c r="B29" t="s">
        <v>11</v>
      </c>
      <c r="C29" t="s">
        <v>12</v>
      </c>
      <c r="D29" t="s">
        <v>12</v>
      </c>
      <c r="E29">
        <v>0</v>
      </c>
      <c r="F29" t="s">
        <v>13</v>
      </c>
      <c r="G29" t="s">
        <v>29</v>
      </c>
      <c r="I29" t="s">
        <v>26</v>
      </c>
      <c r="J29" t="s">
        <v>65</v>
      </c>
      <c r="K29" t="s">
        <v>65</v>
      </c>
    </row>
    <row r="30" spans="1:11" x14ac:dyDescent="0.2">
      <c r="A30">
        <v>2937</v>
      </c>
      <c r="B30" t="s">
        <v>11</v>
      </c>
      <c r="C30" t="s">
        <v>12</v>
      </c>
      <c r="D30" t="s">
        <v>12</v>
      </c>
      <c r="E30">
        <v>0</v>
      </c>
      <c r="F30" t="s">
        <v>394</v>
      </c>
      <c r="G30" t="s">
        <v>21</v>
      </c>
      <c r="I30" t="s">
        <v>52</v>
      </c>
      <c r="J30" t="s">
        <v>24</v>
      </c>
      <c r="K30" t="s">
        <v>24</v>
      </c>
    </row>
    <row r="31" spans="1:11" x14ac:dyDescent="0.2">
      <c r="A31">
        <v>4745</v>
      </c>
      <c r="B31" t="s">
        <v>11</v>
      </c>
      <c r="C31" t="s">
        <v>12</v>
      </c>
      <c r="D31" t="s">
        <v>12</v>
      </c>
      <c r="E31">
        <v>0</v>
      </c>
      <c r="F31" t="s">
        <v>34</v>
      </c>
      <c r="G31" t="s">
        <v>21</v>
      </c>
      <c r="H31" t="s">
        <v>46</v>
      </c>
      <c r="I31" t="s">
        <v>23</v>
      </c>
      <c r="J31" t="s">
        <v>48</v>
      </c>
      <c r="K31" t="s">
        <v>63</v>
      </c>
    </row>
    <row r="32" spans="1:11" x14ac:dyDescent="0.2">
      <c r="A32">
        <v>241</v>
      </c>
      <c r="B32" t="s">
        <v>11</v>
      </c>
      <c r="C32" t="s">
        <v>19</v>
      </c>
      <c r="D32" t="s">
        <v>19</v>
      </c>
      <c r="E32">
        <v>0</v>
      </c>
      <c r="F32" t="s">
        <v>394</v>
      </c>
      <c r="G32" t="s">
        <v>21</v>
      </c>
      <c r="H32" t="s">
        <v>25</v>
      </c>
      <c r="I32" t="s">
        <v>23</v>
      </c>
      <c r="J32" t="s">
        <v>38</v>
      </c>
      <c r="K32" t="s">
        <v>66</v>
      </c>
    </row>
    <row r="33" spans="1:11" x14ac:dyDescent="0.2">
      <c r="A33">
        <v>5265</v>
      </c>
      <c r="B33" t="s">
        <v>11</v>
      </c>
      <c r="C33" t="s">
        <v>19</v>
      </c>
      <c r="D33" t="s">
        <v>19</v>
      </c>
      <c r="E33">
        <v>0</v>
      </c>
      <c r="F33" t="s">
        <v>394</v>
      </c>
      <c r="G33" t="s">
        <v>21</v>
      </c>
      <c r="H33" t="s">
        <v>30</v>
      </c>
      <c r="I33" t="s">
        <v>31</v>
      </c>
      <c r="J33" t="s">
        <v>38</v>
      </c>
      <c r="K33" t="s">
        <v>54</v>
      </c>
    </row>
    <row r="34" spans="1:11" x14ac:dyDescent="0.2">
      <c r="A34">
        <v>7256</v>
      </c>
      <c r="B34" t="s">
        <v>11</v>
      </c>
      <c r="C34" t="s">
        <v>19</v>
      </c>
      <c r="D34" t="s">
        <v>19</v>
      </c>
      <c r="E34">
        <v>0</v>
      </c>
      <c r="F34" t="s">
        <v>34</v>
      </c>
      <c r="G34" t="s">
        <v>21</v>
      </c>
      <c r="H34" t="s">
        <v>67</v>
      </c>
      <c r="I34" t="s">
        <v>43</v>
      </c>
      <c r="J34" t="s">
        <v>38</v>
      </c>
      <c r="K34" t="s">
        <v>38</v>
      </c>
    </row>
    <row r="35" spans="1:11" x14ac:dyDescent="0.2">
      <c r="A35">
        <v>6563</v>
      </c>
      <c r="B35" t="s">
        <v>11</v>
      </c>
      <c r="C35" t="s">
        <v>12</v>
      </c>
      <c r="D35" t="s">
        <v>12</v>
      </c>
      <c r="E35">
        <v>0</v>
      </c>
      <c r="F35" t="s">
        <v>34</v>
      </c>
      <c r="G35" t="s">
        <v>14</v>
      </c>
      <c r="I35" t="s">
        <v>65</v>
      </c>
      <c r="J35" t="s">
        <v>24</v>
      </c>
      <c r="K35" t="s">
        <v>68</v>
      </c>
    </row>
    <row r="36" spans="1:11" x14ac:dyDescent="0.2">
      <c r="A36">
        <v>779</v>
      </c>
      <c r="B36" t="s">
        <v>11</v>
      </c>
      <c r="C36" t="s">
        <v>12</v>
      </c>
      <c r="D36" t="s">
        <v>12</v>
      </c>
      <c r="E36">
        <v>0</v>
      </c>
      <c r="F36" t="s">
        <v>13</v>
      </c>
      <c r="G36" t="s">
        <v>29</v>
      </c>
      <c r="I36" t="s">
        <v>31</v>
      </c>
      <c r="J36" t="s">
        <v>32</v>
      </c>
      <c r="K36" t="s">
        <v>69</v>
      </c>
    </row>
    <row r="37" spans="1:11" x14ac:dyDescent="0.2">
      <c r="A37">
        <v>10179</v>
      </c>
      <c r="B37" t="s">
        <v>11</v>
      </c>
      <c r="C37" t="s">
        <v>12</v>
      </c>
      <c r="D37" t="s">
        <v>12</v>
      </c>
      <c r="E37">
        <v>0</v>
      </c>
      <c r="F37" t="s">
        <v>13</v>
      </c>
      <c r="G37" t="s">
        <v>29</v>
      </c>
      <c r="I37" t="s">
        <v>52</v>
      </c>
      <c r="J37" t="s">
        <v>55</v>
      </c>
      <c r="K37" t="s">
        <v>70</v>
      </c>
    </row>
    <row r="38" spans="1:11" x14ac:dyDescent="0.2">
      <c r="A38">
        <v>6588</v>
      </c>
      <c r="B38" t="s">
        <v>11</v>
      </c>
      <c r="C38" t="s">
        <v>12</v>
      </c>
      <c r="D38" t="s">
        <v>12</v>
      </c>
      <c r="E38">
        <v>0</v>
      </c>
      <c r="F38" t="s">
        <v>13</v>
      </c>
      <c r="G38" t="s">
        <v>56</v>
      </c>
      <c r="I38" t="s">
        <v>23</v>
      </c>
      <c r="J38" t="s">
        <v>17</v>
      </c>
      <c r="K38" t="s">
        <v>50</v>
      </c>
    </row>
    <row r="39" spans="1:11" x14ac:dyDescent="0.2">
      <c r="A39">
        <v>7805</v>
      </c>
      <c r="B39" t="s">
        <v>11</v>
      </c>
      <c r="C39" t="s">
        <v>12</v>
      </c>
      <c r="D39" t="s">
        <v>12</v>
      </c>
      <c r="E39">
        <v>0</v>
      </c>
      <c r="F39" t="s">
        <v>13</v>
      </c>
      <c r="G39" t="s">
        <v>21</v>
      </c>
      <c r="H39" t="s">
        <v>71</v>
      </c>
      <c r="I39" t="s">
        <v>16</v>
      </c>
      <c r="J39" t="s">
        <v>24</v>
      </c>
      <c r="K39" t="s">
        <v>72</v>
      </c>
    </row>
    <row r="40" spans="1:11" x14ac:dyDescent="0.2">
      <c r="A40">
        <v>2920</v>
      </c>
      <c r="B40" t="s">
        <v>11</v>
      </c>
      <c r="C40" t="s">
        <v>12</v>
      </c>
      <c r="D40" t="s">
        <v>12</v>
      </c>
      <c r="E40">
        <v>0</v>
      </c>
      <c r="F40" t="s">
        <v>34</v>
      </c>
      <c r="G40" t="s">
        <v>21</v>
      </c>
      <c r="H40" t="s">
        <v>73</v>
      </c>
      <c r="I40" t="s">
        <v>26</v>
      </c>
      <c r="J40" t="s">
        <v>24</v>
      </c>
      <c r="K40" t="s">
        <v>36</v>
      </c>
    </row>
    <row r="41" spans="1:11" x14ac:dyDescent="0.2">
      <c r="A41">
        <v>2448</v>
      </c>
      <c r="B41" t="s">
        <v>11</v>
      </c>
      <c r="C41" t="s">
        <v>12</v>
      </c>
      <c r="D41" t="s">
        <v>12</v>
      </c>
      <c r="E41">
        <v>0</v>
      </c>
      <c r="F41" t="s">
        <v>13</v>
      </c>
      <c r="G41" t="s">
        <v>56</v>
      </c>
      <c r="H41" t="s">
        <v>74</v>
      </c>
      <c r="I41" t="s">
        <v>26</v>
      </c>
      <c r="J41" t="s">
        <v>32</v>
      </c>
      <c r="K41" t="s">
        <v>75</v>
      </c>
    </row>
    <row r="42" spans="1:11" x14ac:dyDescent="0.2">
      <c r="A42">
        <v>5371</v>
      </c>
      <c r="B42" t="s">
        <v>11</v>
      </c>
      <c r="C42" t="s">
        <v>12</v>
      </c>
      <c r="D42" t="s">
        <v>12</v>
      </c>
      <c r="E42">
        <v>0</v>
      </c>
      <c r="F42" t="s">
        <v>13</v>
      </c>
      <c r="G42" t="s">
        <v>29</v>
      </c>
      <c r="H42" t="s">
        <v>61</v>
      </c>
      <c r="I42" t="s">
        <v>31</v>
      </c>
      <c r="J42" t="s">
        <v>32</v>
      </c>
      <c r="K42" t="s">
        <v>76</v>
      </c>
    </row>
    <row r="43" spans="1:11" x14ac:dyDescent="0.2">
      <c r="A43">
        <v>2747</v>
      </c>
      <c r="B43" t="s">
        <v>11</v>
      </c>
      <c r="C43" t="s">
        <v>12</v>
      </c>
      <c r="D43" t="s">
        <v>12</v>
      </c>
      <c r="E43">
        <v>0</v>
      </c>
      <c r="F43" t="s">
        <v>394</v>
      </c>
      <c r="G43" t="s">
        <v>21</v>
      </c>
      <c r="H43" t="s">
        <v>46</v>
      </c>
      <c r="I43" t="s">
        <v>31</v>
      </c>
      <c r="J43" t="s">
        <v>24</v>
      </c>
      <c r="K43" t="s">
        <v>77</v>
      </c>
    </row>
    <row r="44" spans="1:11" x14ac:dyDescent="0.2">
      <c r="A44">
        <v>8655</v>
      </c>
      <c r="B44" t="s">
        <v>11</v>
      </c>
      <c r="C44" t="s">
        <v>19</v>
      </c>
      <c r="D44" t="s">
        <v>19</v>
      </c>
      <c r="E44">
        <v>0</v>
      </c>
      <c r="F44" t="s">
        <v>34</v>
      </c>
      <c r="G44" t="s">
        <v>78</v>
      </c>
      <c r="H44" t="s">
        <v>79</v>
      </c>
      <c r="I44" t="s">
        <v>43</v>
      </c>
      <c r="J44" t="s">
        <v>40</v>
      </c>
      <c r="K44" t="s">
        <v>40</v>
      </c>
    </row>
    <row r="45" spans="1:11" x14ac:dyDescent="0.2">
      <c r="A45">
        <v>4607</v>
      </c>
      <c r="B45" t="s">
        <v>11</v>
      </c>
      <c r="C45" t="s">
        <v>19</v>
      </c>
      <c r="D45" t="s">
        <v>19</v>
      </c>
      <c r="E45">
        <v>0</v>
      </c>
      <c r="F45" t="s">
        <v>394</v>
      </c>
      <c r="G45" t="s">
        <v>21</v>
      </c>
      <c r="H45" t="s">
        <v>51</v>
      </c>
      <c r="I45" t="s">
        <v>52</v>
      </c>
      <c r="J45" t="s">
        <v>38</v>
      </c>
      <c r="K45" t="s">
        <v>66</v>
      </c>
    </row>
    <row r="46" spans="1:11" x14ac:dyDescent="0.2">
      <c r="A46">
        <v>1854</v>
      </c>
      <c r="B46" t="s">
        <v>11</v>
      </c>
      <c r="C46" t="s">
        <v>12</v>
      </c>
      <c r="D46" t="s">
        <v>20</v>
      </c>
      <c r="E46">
        <v>1</v>
      </c>
      <c r="F46" t="s">
        <v>392</v>
      </c>
      <c r="G46" t="s">
        <v>21</v>
      </c>
      <c r="H46" t="s">
        <v>15</v>
      </c>
      <c r="I46" t="s">
        <v>52</v>
      </c>
      <c r="J46" t="s">
        <v>65</v>
      </c>
    </row>
    <row r="47" spans="1:11" x14ac:dyDescent="0.2">
      <c r="A47">
        <v>9849</v>
      </c>
      <c r="B47" t="s">
        <v>11</v>
      </c>
      <c r="C47" t="s">
        <v>12</v>
      </c>
      <c r="D47" t="s">
        <v>12</v>
      </c>
      <c r="E47">
        <v>0</v>
      </c>
      <c r="F47" t="s">
        <v>13</v>
      </c>
      <c r="G47" t="s">
        <v>29</v>
      </c>
      <c r="I47" t="s">
        <v>37</v>
      </c>
      <c r="J47" t="s">
        <v>38</v>
      </c>
      <c r="K47" t="s">
        <v>80</v>
      </c>
    </row>
    <row r="48" spans="1:11" x14ac:dyDescent="0.2">
      <c r="A48">
        <v>516</v>
      </c>
      <c r="B48" t="s">
        <v>11</v>
      </c>
      <c r="C48" t="s">
        <v>19</v>
      </c>
      <c r="D48" t="s">
        <v>19</v>
      </c>
      <c r="E48">
        <v>0</v>
      </c>
      <c r="F48" t="s">
        <v>394</v>
      </c>
      <c r="G48" t="s">
        <v>21</v>
      </c>
      <c r="H48" t="s">
        <v>81</v>
      </c>
      <c r="I48" t="s">
        <v>31</v>
      </c>
      <c r="J48" t="s">
        <v>38</v>
      </c>
      <c r="K48" t="s">
        <v>32</v>
      </c>
    </row>
    <row r="49" spans="1:11" x14ac:dyDescent="0.2">
      <c r="A49">
        <v>1289</v>
      </c>
      <c r="B49" t="s">
        <v>11</v>
      </c>
      <c r="C49" t="s">
        <v>19</v>
      </c>
      <c r="D49" t="s">
        <v>19</v>
      </c>
      <c r="E49">
        <v>0</v>
      </c>
      <c r="F49" t="s">
        <v>34</v>
      </c>
      <c r="G49" t="s">
        <v>21</v>
      </c>
      <c r="H49" t="s">
        <v>82</v>
      </c>
      <c r="I49" t="s">
        <v>23</v>
      </c>
      <c r="J49" t="s">
        <v>32</v>
      </c>
      <c r="K49" t="s">
        <v>32</v>
      </c>
    </row>
    <row r="50" spans="1:11" x14ac:dyDescent="0.2">
      <c r="A50">
        <v>8366</v>
      </c>
      <c r="B50" t="s">
        <v>11</v>
      </c>
      <c r="C50" t="s">
        <v>12</v>
      </c>
      <c r="D50" t="s">
        <v>20</v>
      </c>
      <c r="E50">
        <v>1</v>
      </c>
      <c r="F50" t="s">
        <v>392</v>
      </c>
      <c r="G50" t="s">
        <v>56</v>
      </c>
      <c r="I50" t="s">
        <v>23</v>
      </c>
      <c r="J50" t="s">
        <v>24</v>
      </c>
      <c r="K50" t="s">
        <v>83</v>
      </c>
    </row>
    <row r="51" spans="1:11" x14ac:dyDescent="0.2">
      <c r="A51">
        <v>2889</v>
      </c>
      <c r="B51" t="s">
        <v>11</v>
      </c>
      <c r="C51" t="s">
        <v>12</v>
      </c>
      <c r="D51" t="s">
        <v>12</v>
      </c>
      <c r="E51">
        <v>0</v>
      </c>
      <c r="F51" t="s">
        <v>34</v>
      </c>
      <c r="G51" t="s">
        <v>56</v>
      </c>
      <c r="I51" t="s">
        <v>37</v>
      </c>
      <c r="J51" t="s">
        <v>24</v>
      </c>
      <c r="K51" t="s">
        <v>36</v>
      </c>
    </row>
    <row r="52" spans="1:11" x14ac:dyDescent="0.2">
      <c r="A52">
        <v>5185</v>
      </c>
      <c r="B52" t="s">
        <v>11</v>
      </c>
      <c r="C52" t="s">
        <v>12</v>
      </c>
      <c r="D52" t="s">
        <v>12</v>
      </c>
      <c r="E52">
        <v>0</v>
      </c>
      <c r="F52" t="s">
        <v>13</v>
      </c>
      <c r="G52" t="s">
        <v>29</v>
      </c>
      <c r="H52" t="s">
        <v>61</v>
      </c>
      <c r="I52" t="s">
        <v>31</v>
      </c>
      <c r="J52" t="s">
        <v>24</v>
      </c>
      <c r="K52" t="s">
        <v>62</v>
      </c>
    </row>
    <row r="53" spans="1:11" x14ac:dyDescent="0.2">
      <c r="A53">
        <v>259</v>
      </c>
      <c r="B53" t="s">
        <v>11</v>
      </c>
      <c r="C53" t="s">
        <v>12</v>
      </c>
      <c r="D53" t="s">
        <v>12</v>
      </c>
      <c r="E53">
        <v>0</v>
      </c>
      <c r="F53" t="s">
        <v>34</v>
      </c>
      <c r="G53" t="s">
        <v>56</v>
      </c>
      <c r="H53" t="s">
        <v>84</v>
      </c>
      <c r="I53" t="s">
        <v>23</v>
      </c>
      <c r="J53" t="s">
        <v>24</v>
      </c>
      <c r="K53" t="s">
        <v>83</v>
      </c>
    </row>
    <row r="54" spans="1:11" x14ac:dyDescent="0.2">
      <c r="A54">
        <v>474</v>
      </c>
      <c r="B54" t="s">
        <v>11</v>
      </c>
      <c r="C54" t="s">
        <v>19</v>
      </c>
      <c r="D54" t="s">
        <v>19</v>
      </c>
      <c r="E54">
        <v>0</v>
      </c>
      <c r="F54" t="s">
        <v>34</v>
      </c>
      <c r="G54" t="s">
        <v>21</v>
      </c>
      <c r="H54" t="s">
        <v>49</v>
      </c>
      <c r="I54" t="s">
        <v>16</v>
      </c>
      <c r="J54" t="s">
        <v>40</v>
      </c>
      <c r="K54" t="s">
        <v>40</v>
      </c>
    </row>
    <row r="55" spans="1:11" x14ac:dyDescent="0.2">
      <c r="A55">
        <v>138</v>
      </c>
      <c r="B55" t="s">
        <v>11</v>
      </c>
      <c r="C55" t="s">
        <v>12</v>
      </c>
      <c r="D55" t="s">
        <v>12</v>
      </c>
      <c r="E55">
        <v>0</v>
      </c>
      <c r="F55" t="s">
        <v>394</v>
      </c>
      <c r="G55" t="s">
        <v>14</v>
      </c>
      <c r="I55" t="s">
        <v>52</v>
      </c>
      <c r="J55" t="s">
        <v>17</v>
      </c>
      <c r="K55" t="s">
        <v>17</v>
      </c>
    </row>
    <row r="56" spans="1:11" x14ac:dyDescent="0.2">
      <c r="A56">
        <v>4744</v>
      </c>
      <c r="B56" t="s">
        <v>11</v>
      </c>
      <c r="C56" t="s">
        <v>12</v>
      </c>
      <c r="D56" t="s">
        <v>12</v>
      </c>
      <c r="E56">
        <v>0</v>
      </c>
      <c r="F56" t="s">
        <v>34</v>
      </c>
      <c r="G56" t="s">
        <v>21</v>
      </c>
      <c r="H56" t="s">
        <v>85</v>
      </c>
      <c r="I56" t="s">
        <v>43</v>
      </c>
      <c r="J56" t="s">
        <v>48</v>
      </c>
      <c r="K56" t="s">
        <v>63</v>
      </c>
    </row>
    <row r="57" spans="1:11" x14ac:dyDescent="0.2">
      <c r="A57">
        <v>5338</v>
      </c>
      <c r="B57" t="s">
        <v>11</v>
      </c>
      <c r="C57" t="s">
        <v>12</v>
      </c>
      <c r="D57" t="s">
        <v>20</v>
      </c>
      <c r="E57">
        <v>1</v>
      </c>
      <c r="F57" t="s">
        <v>392</v>
      </c>
      <c r="G57" t="s">
        <v>56</v>
      </c>
      <c r="H57" t="s">
        <v>86</v>
      </c>
      <c r="I57" t="s">
        <v>43</v>
      </c>
      <c r="J57" t="s">
        <v>24</v>
      </c>
      <c r="K57" t="s">
        <v>24</v>
      </c>
    </row>
    <row r="58" spans="1:11" x14ac:dyDescent="0.2">
      <c r="A58">
        <v>5518</v>
      </c>
      <c r="B58" t="s">
        <v>11</v>
      </c>
      <c r="C58" t="s">
        <v>12</v>
      </c>
      <c r="D58" t="s">
        <v>12</v>
      </c>
      <c r="E58">
        <v>0</v>
      </c>
      <c r="F58" t="s">
        <v>13</v>
      </c>
      <c r="G58" t="s">
        <v>29</v>
      </c>
      <c r="H58" t="s">
        <v>61</v>
      </c>
      <c r="I58" t="s">
        <v>31</v>
      </c>
      <c r="J58" t="s">
        <v>32</v>
      </c>
      <c r="K58" t="s">
        <v>66</v>
      </c>
    </row>
    <row r="59" spans="1:11" x14ac:dyDescent="0.2">
      <c r="A59">
        <v>3333</v>
      </c>
      <c r="B59" t="s">
        <v>11</v>
      </c>
      <c r="C59" t="s">
        <v>12</v>
      </c>
      <c r="D59" t="s">
        <v>20</v>
      </c>
      <c r="E59">
        <v>1</v>
      </c>
      <c r="F59" t="s">
        <v>392</v>
      </c>
      <c r="G59" t="s">
        <v>21</v>
      </c>
      <c r="H59" t="s">
        <v>58</v>
      </c>
      <c r="I59" t="s">
        <v>52</v>
      </c>
      <c r="J59" t="s">
        <v>24</v>
      </c>
      <c r="K59" t="s">
        <v>24</v>
      </c>
    </row>
    <row r="60" spans="1:11" x14ac:dyDescent="0.2">
      <c r="A60">
        <v>9454</v>
      </c>
      <c r="B60" t="s">
        <v>11</v>
      </c>
      <c r="C60" t="s">
        <v>12</v>
      </c>
      <c r="D60" t="s">
        <v>12</v>
      </c>
      <c r="E60">
        <v>0</v>
      </c>
      <c r="F60" t="s">
        <v>13</v>
      </c>
      <c r="G60" t="s">
        <v>29</v>
      </c>
      <c r="H60" t="s">
        <v>25</v>
      </c>
      <c r="I60" t="s">
        <v>26</v>
      </c>
      <c r="J60" t="s">
        <v>38</v>
      </c>
      <c r="K60" t="s">
        <v>87</v>
      </c>
    </row>
    <row r="61" spans="1:11" x14ac:dyDescent="0.2">
      <c r="A61">
        <v>896</v>
      </c>
      <c r="B61" t="s">
        <v>11</v>
      </c>
      <c r="C61" t="s">
        <v>12</v>
      </c>
      <c r="D61" t="s">
        <v>12</v>
      </c>
      <c r="E61">
        <v>0</v>
      </c>
      <c r="F61" t="s">
        <v>13</v>
      </c>
      <c r="G61" t="s">
        <v>45</v>
      </c>
      <c r="I61" t="s">
        <v>37</v>
      </c>
      <c r="J61" t="s">
        <v>88</v>
      </c>
      <c r="K61" t="s">
        <v>88</v>
      </c>
    </row>
    <row r="62" spans="1:11" x14ac:dyDescent="0.2">
      <c r="A62">
        <v>2192</v>
      </c>
      <c r="B62" t="s">
        <v>11</v>
      </c>
      <c r="C62" t="s">
        <v>12</v>
      </c>
      <c r="D62" t="s">
        <v>12</v>
      </c>
      <c r="E62">
        <v>0</v>
      </c>
      <c r="F62" t="s">
        <v>13</v>
      </c>
      <c r="G62" t="s">
        <v>56</v>
      </c>
      <c r="I62" t="s">
        <v>37</v>
      </c>
      <c r="J62" t="s">
        <v>24</v>
      </c>
      <c r="K62" t="s">
        <v>83</v>
      </c>
    </row>
    <row r="63" spans="1:11" x14ac:dyDescent="0.2">
      <c r="A63">
        <v>9847</v>
      </c>
      <c r="B63" t="s">
        <v>11</v>
      </c>
      <c r="C63" t="s">
        <v>12</v>
      </c>
      <c r="D63" t="s">
        <v>12</v>
      </c>
      <c r="E63">
        <v>0</v>
      </c>
      <c r="F63" t="s">
        <v>13</v>
      </c>
      <c r="G63" t="s">
        <v>29</v>
      </c>
      <c r="H63" t="s">
        <v>25</v>
      </c>
      <c r="I63" t="s">
        <v>26</v>
      </c>
      <c r="J63" t="s">
        <v>38</v>
      </c>
      <c r="K63" t="s">
        <v>55</v>
      </c>
    </row>
    <row r="64" spans="1:11" x14ac:dyDescent="0.2">
      <c r="A64">
        <v>6929</v>
      </c>
      <c r="B64" t="s">
        <v>11</v>
      </c>
      <c r="C64" t="s">
        <v>19</v>
      </c>
      <c r="D64" t="s">
        <v>19</v>
      </c>
      <c r="E64">
        <v>0</v>
      </c>
      <c r="F64" t="s">
        <v>34</v>
      </c>
      <c r="G64" t="s">
        <v>21</v>
      </c>
      <c r="H64" t="s">
        <v>89</v>
      </c>
      <c r="I64" t="s">
        <v>31</v>
      </c>
      <c r="J64" t="s">
        <v>24</v>
      </c>
      <c r="K64" t="s">
        <v>62</v>
      </c>
    </row>
    <row r="65" spans="1:11" x14ac:dyDescent="0.2">
      <c r="A65">
        <v>2012</v>
      </c>
      <c r="B65" t="s">
        <v>11</v>
      </c>
      <c r="C65" t="s">
        <v>19</v>
      </c>
      <c r="D65" t="s">
        <v>12</v>
      </c>
      <c r="E65">
        <v>1</v>
      </c>
      <c r="F65" t="s">
        <v>13</v>
      </c>
      <c r="G65" t="s">
        <v>21</v>
      </c>
      <c r="H65" t="s">
        <v>49</v>
      </c>
      <c r="I65" t="s">
        <v>16</v>
      </c>
      <c r="J65" t="s">
        <v>17</v>
      </c>
      <c r="K65" t="s">
        <v>17</v>
      </c>
    </row>
    <row r="66" spans="1:11" x14ac:dyDescent="0.2">
      <c r="A66">
        <v>1010</v>
      </c>
      <c r="B66" t="s">
        <v>11</v>
      </c>
      <c r="C66" t="s">
        <v>19</v>
      </c>
      <c r="D66" t="s">
        <v>19</v>
      </c>
      <c r="E66">
        <v>0</v>
      </c>
      <c r="F66" t="s">
        <v>34</v>
      </c>
      <c r="G66" t="s">
        <v>21</v>
      </c>
      <c r="I66" t="s">
        <v>65</v>
      </c>
      <c r="J66" t="s">
        <v>65</v>
      </c>
    </row>
    <row r="67" spans="1:11" x14ac:dyDescent="0.2">
      <c r="A67">
        <v>6131</v>
      </c>
      <c r="B67" t="s">
        <v>11</v>
      </c>
      <c r="C67" t="s">
        <v>12</v>
      </c>
      <c r="D67" t="s">
        <v>20</v>
      </c>
      <c r="E67">
        <v>1</v>
      </c>
      <c r="F67" t="s">
        <v>392</v>
      </c>
      <c r="G67" t="s">
        <v>21</v>
      </c>
      <c r="H67" t="s">
        <v>73</v>
      </c>
      <c r="I67" t="s">
        <v>26</v>
      </c>
      <c r="J67" t="s">
        <v>24</v>
      </c>
      <c r="K67" t="s">
        <v>66</v>
      </c>
    </row>
    <row r="68" spans="1:11" x14ac:dyDescent="0.2">
      <c r="A68">
        <v>4698</v>
      </c>
      <c r="B68" t="s">
        <v>11</v>
      </c>
      <c r="C68" t="s">
        <v>19</v>
      </c>
      <c r="D68" t="s">
        <v>20</v>
      </c>
      <c r="E68">
        <v>1</v>
      </c>
      <c r="F68" t="s">
        <v>392</v>
      </c>
      <c r="G68" t="s">
        <v>21</v>
      </c>
      <c r="H68" t="s">
        <v>22</v>
      </c>
      <c r="I68" t="s">
        <v>23</v>
      </c>
      <c r="J68" t="s">
        <v>24</v>
      </c>
      <c r="K68" t="s">
        <v>24</v>
      </c>
    </row>
    <row r="69" spans="1:11" x14ac:dyDescent="0.2">
      <c r="A69">
        <v>3959</v>
      </c>
      <c r="B69" t="s">
        <v>11</v>
      </c>
      <c r="C69" t="s">
        <v>12</v>
      </c>
      <c r="D69" t="s">
        <v>12</v>
      </c>
      <c r="E69">
        <v>0</v>
      </c>
      <c r="F69" t="s">
        <v>13</v>
      </c>
      <c r="G69" t="s">
        <v>21</v>
      </c>
      <c r="H69" t="s">
        <v>49</v>
      </c>
      <c r="I69" t="s">
        <v>16</v>
      </c>
      <c r="J69" t="s">
        <v>24</v>
      </c>
      <c r="K69" t="s">
        <v>83</v>
      </c>
    </row>
    <row r="70" spans="1:11" x14ac:dyDescent="0.2">
      <c r="A70">
        <v>8850</v>
      </c>
      <c r="B70" t="s">
        <v>11</v>
      </c>
      <c r="C70" t="s">
        <v>12</v>
      </c>
      <c r="D70" t="s">
        <v>12</v>
      </c>
      <c r="E70">
        <v>0</v>
      </c>
      <c r="F70" t="s">
        <v>13</v>
      </c>
      <c r="G70" t="s">
        <v>29</v>
      </c>
      <c r="H70" t="s">
        <v>57</v>
      </c>
      <c r="I70" t="s">
        <v>31</v>
      </c>
      <c r="J70" t="s">
        <v>17</v>
      </c>
      <c r="K70" t="s">
        <v>90</v>
      </c>
    </row>
    <row r="71" spans="1:11" x14ac:dyDescent="0.2">
      <c r="A71">
        <v>4479</v>
      </c>
      <c r="B71" t="s">
        <v>11</v>
      </c>
      <c r="C71" t="s">
        <v>12</v>
      </c>
      <c r="D71" t="s">
        <v>12</v>
      </c>
      <c r="E71">
        <v>0</v>
      </c>
      <c r="F71" t="s">
        <v>394</v>
      </c>
      <c r="G71" t="s">
        <v>14</v>
      </c>
      <c r="I71" t="s">
        <v>16</v>
      </c>
      <c r="J71" t="s">
        <v>24</v>
      </c>
      <c r="K71" t="s">
        <v>83</v>
      </c>
    </row>
    <row r="72" spans="1:11" x14ac:dyDescent="0.2">
      <c r="A72">
        <v>416</v>
      </c>
      <c r="B72" t="s">
        <v>11</v>
      </c>
      <c r="C72" t="s">
        <v>19</v>
      </c>
      <c r="D72" t="s">
        <v>19</v>
      </c>
      <c r="E72">
        <v>0</v>
      </c>
      <c r="F72" t="s">
        <v>394</v>
      </c>
      <c r="G72" t="s">
        <v>21</v>
      </c>
      <c r="H72" t="s">
        <v>91</v>
      </c>
      <c r="I72" t="s">
        <v>26</v>
      </c>
      <c r="J72" t="s">
        <v>32</v>
      </c>
      <c r="K72" t="s">
        <v>62</v>
      </c>
    </row>
    <row r="73" spans="1:11" x14ac:dyDescent="0.2">
      <c r="A73">
        <v>9023</v>
      </c>
      <c r="B73" t="s">
        <v>11</v>
      </c>
      <c r="C73" t="s">
        <v>12</v>
      </c>
      <c r="D73" t="s">
        <v>12</v>
      </c>
      <c r="E73">
        <v>0</v>
      </c>
      <c r="F73" t="s">
        <v>13</v>
      </c>
      <c r="G73" t="s">
        <v>56</v>
      </c>
      <c r="H73" t="s">
        <v>57</v>
      </c>
      <c r="I73" t="s">
        <v>31</v>
      </c>
      <c r="J73" t="s">
        <v>17</v>
      </c>
      <c r="K73" t="s">
        <v>92</v>
      </c>
    </row>
    <row r="74" spans="1:11" x14ac:dyDescent="0.2">
      <c r="A74">
        <v>9602</v>
      </c>
      <c r="B74" t="s">
        <v>11</v>
      </c>
      <c r="C74" t="s">
        <v>12</v>
      </c>
      <c r="D74" t="s">
        <v>12</v>
      </c>
      <c r="E74">
        <v>0</v>
      </c>
      <c r="F74" t="s">
        <v>394</v>
      </c>
      <c r="G74" t="s">
        <v>29</v>
      </c>
      <c r="H74" t="s">
        <v>73</v>
      </c>
      <c r="I74" t="s">
        <v>26</v>
      </c>
      <c r="J74" t="s">
        <v>38</v>
      </c>
      <c r="K74" t="s">
        <v>93</v>
      </c>
    </row>
    <row r="75" spans="1:11" x14ac:dyDescent="0.2">
      <c r="A75">
        <v>2534</v>
      </c>
      <c r="B75" t="s">
        <v>11</v>
      </c>
      <c r="C75" t="s">
        <v>19</v>
      </c>
      <c r="D75" t="s">
        <v>20</v>
      </c>
      <c r="E75">
        <v>1</v>
      </c>
      <c r="F75" t="s">
        <v>392</v>
      </c>
      <c r="G75" t="s">
        <v>21</v>
      </c>
      <c r="I75" t="s">
        <v>43</v>
      </c>
      <c r="J75" t="s">
        <v>24</v>
      </c>
      <c r="K75" t="s">
        <v>24</v>
      </c>
    </row>
    <row r="76" spans="1:11" x14ac:dyDescent="0.2">
      <c r="A76">
        <v>3637</v>
      </c>
      <c r="B76" t="s">
        <v>11</v>
      </c>
      <c r="C76" t="s">
        <v>12</v>
      </c>
      <c r="D76" t="s">
        <v>12</v>
      </c>
      <c r="E76">
        <v>0</v>
      </c>
      <c r="F76" t="s">
        <v>13</v>
      </c>
      <c r="G76" t="s">
        <v>45</v>
      </c>
      <c r="H76" t="s">
        <v>94</v>
      </c>
      <c r="I76" t="s">
        <v>31</v>
      </c>
      <c r="J76" t="s">
        <v>88</v>
      </c>
      <c r="K76" t="s">
        <v>95</v>
      </c>
    </row>
    <row r="77" spans="1:11" x14ac:dyDescent="0.2">
      <c r="A77">
        <v>4305</v>
      </c>
      <c r="B77" t="s">
        <v>11</v>
      </c>
      <c r="C77" t="s">
        <v>12</v>
      </c>
      <c r="D77" t="s">
        <v>12</v>
      </c>
      <c r="E77">
        <v>0</v>
      </c>
      <c r="F77" t="s">
        <v>394</v>
      </c>
      <c r="G77" t="s">
        <v>56</v>
      </c>
      <c r="I77" t="s">
        <v>65</v>
      </c>
      <c r="J77" t="s">
        <v>24</v>
      </c>
      <c r="K77" t="s">
        <v>96</v>
      </c>
    </row>
    <row r="78" spans="1:11" x14ac:dyDescent="0.2">
      <c r="A78">
        <v>383</v>
      </c>
      <c r="B78" t="s">
        <v>11</v>
      </c>
      <c r="C78" t="s">
        <v>19</v>
      </c>
      <c r="D78" t="s">
        <v>19</v>
      </c>
      <c r="E78">
        <v>0</v>
      </c>
      <c r="F78" t="s">
        <v>394</v>
      </c>
      <c r="G78" t="s">
        <v>21</v>
      </c>
      <c r="H78" t="s">
        <v>57</v>
      </c>
      <c r="I78" t="s">
        <v>31</v>
      </c>
      <c r="J78" t="s">
        <v>38</v>
      </c>
      <c r="K78" t="s">
        <v>97</v>
      </c>
    </row>
    <row r="79" spans="1:11" x14ac:dyDescent="0.2">
      <c r="A79">
        <v>9695</v>
      </c>
      <c r="B79" t="s">
        <v>11</v>
      </c>
      <c r="C79" t="s">
        <v>12</v>
      </c>
      <c r="D79" t="s">
        <v>12</v>
      </c>
      <c r="E79">
        <v>0</v>
      </c>
      <c r="F79" t="s">
        <v>13</v>
      </c>
      <c r="G79" t="s">
        <v>29</v>
      </c>
      <c r="I79" t="s">
        <v>26</v>
      </c>
      <c r="J79" t="s">
        <v>38</v>
      </c>
      <c r="K79" t="s">
        <v>54</v>
      </c>
    </row>
    <row r="80" spans="1:11" x14ac:dyDescent="0.2">
      <c r="A80">
        <v>4054</v>
      </c>
      <c r="B80" t="s">
        <v>11</v>
      </c>
      <c r="C80" t="s">
        <v>12</v>
      </c>
      <c r="D80" t="s">
        <v>12</v>
      </c>
      <c r="E80">
        <v>0</v>
      </c>
      <c r="F80" t="s">
        <v>13</v>
      </c>
      <c r="G80" t="s">
        <v>29</v>
      </c>
      <c r="H80" t="s">
        <v>30</v>
      </c>
      <c r="I80" t="s">
        <v>31</v>
      </c>
      <c r="J80" t="s">
        <v>24</v>
      </c>
      <c r="K80" t="s">
        <v>98</v>
      </c>
    </row>
    <row r="81" spans="1:11" x14ac:dyDescent="0.2">
      <c r="A81">
        <v>2931</v>
      </c>
      <c r="B81" t="s">
        <v>11</v>
      </c>
      <c r="C81" t="s">
        <v>12</v>
      </c>
      <c r="D81" t="s">
        <v>12</v>
      </c>
      <c r="E81">
        <v>0</v>
      </c>
      <c r="F81" t="s">
        <v>34</v>
      </c>
      <c r="G81" t="s">
        <v>14</v>
      </c>
      <c r="I81" t="s">
        <v>65</v>
      </c>
      <c r="J81" t="s">
        <v>24</v>
      </c>
      <c r="K81" t="s">
        <v>36</v>
      </c>
    </row>
    <row r="82" spans="1:11" x14ac:dyDescent="0.2">
      <c r="A82">
        <v>6297</v>
      </c>
      <c r="B82" t="s">
        <v>11</v>
      </c>
      <c r="C82" t="s">
        <v>19</v>
      </c>
      <c r="D82" t="s">
        <v>12</v>
      </c>
      <c r="E82">
        <v>1</v>
      </c>
      <c r="F82" t="s">
        <v>394</v>
      </c>
      <c r="G82" t="s">
        <v>21</v>
      </c>
      <c r="H82" t="s">
        <v>99</v>
      </c>
      <c r="I82" t="s">
        <v>23</v>
      </c>
      <c r="J82" t="s">
        <v>24</v>
      </c>
      <c r="K82" t="s">
        <v>18</v>
      </c>
    </row>
    <row r="83" spans="1:11" x14ac:dyDescent="0.2">
      <c r="A83">
        <v>3683</v>
      </c>
      <c r="B83" t="s">
        <v>11</v>
      </c>
      <c r="C83" t="s">
        <v>12</v>
      </c>
      <c r="D83" t="s">
        <v>12</v>
      </c>
      <c r="E83">
        <v>0</v>
      </c>
      <c r="F83" t="s">
        <v>13</v>
      </c>
      <c r="G83" t="s">
        <v>29</v>
      </c>
      <c r="H83" t="s">
        <v>46</v>
      </c>
      <c r="I83" t="s">
        <v>23</v>
      </c>
      <c r="J83" t="s">
        <v>24</v>
      </c>
      <c r="K83" t="s">
        <v>100</v>
      </c>
    </row>
    <row r="84" spans="1:11" x14ac:dyDescent="0.2">
      <c r="A84">
        <v>9343</v>
      </c>
      <c r="B84" t="s">
        <v>11</v>
      </c>
      <c r="C84" t="s">
        <v>19</v>
      </c>
      <c r="D84" t="s">
        <v>20</v>
      </c>
      <c r="E84">
        <v>1</v>
      </c>
      <c r="F84" t="s">
        <v>392</v>
      </c>
      <c r="G84" t="s">
        <v>21</v>
      </c>
      <c r="H84" t="s">
        <v>49</v>
      </c>
      <c r="I84" t="s">
        <v>16</v>
      </c>
      <c r="J84" t="s">
        <v>27</v>
      </c>
      <c r="K84" t="s">
        <v>101</v>
      </c>
    </row>
    <row r="85" spans="1:11" x14ac:dyDescent="0.2">
      <c r="A85">
        <v>5733</v>
      </c>
      <c r="B85" t="s">
        <v>11</v>
      </c>
      <c r="C85" t="s">
        <v>12</v>
      </c>
      <c r="D85" t="s">
        <v>12</v>
      </c>
      <c r="E85">
        <v>0</v>
      </c>
      <c r="F85" t="s">
        <v>34</v>
      </c>
      <c r="G85" t="s">
        <v>14</v>
      </c>
      <c r="H85" t="s">
        <v>102</v>
      </c>
      <c r="I85" t="s">
        <v>43</v>
      </c>
      <c r="J85" t="s">
        <v>48</v>
      </c>
      <c r="K85" t="s">
        <v>63</v>
      </c>
    </row>
    <row r="86" spans="1:11" x14ac:dyDescent="0.2">
      <c r="A86">
        <v>6601</v>
      </c>
      <c r="B86" t="s">
        <v>11</v>
      </c>
      <c r="C86" t="s">
        <v>12</v>
      </c>
      <c r="D86" t="s">
        <v>12</v>
      </c>
      <c r="E86">
        <v>0</v>
      </c>
      <c r="F86" t="s">
        <v>34</v>
      </c>
      <c r="G86" t="s">
        <v>14</v>
      </c>
      <c r="I86" t="s">
        <v>31</v>
      </c>
      <c r="J86" t="s">
        <v>24</v>
      </c>
      <c r="K86" t="s">
        <v>83</v>
      </c>
    </row>
    <row r="87" spans="1:11" x14ac:dyDescent="0.2">
      <c r="A87">
        <v>6550</v>
      </c>
      <c r="B87" t="s">
        <v>11</v>
      </c>
      <c r="C87" t="s">
        <v>12</v>
      </c>
      <c r="D87" t="s">
        <v>12</v>
      </c>
      <c r="E87">
        <v>0</v>
      </c>
      <c r="F87" t="s">
        <v>394</v>
      </c>
      <c r="G87" t="s">
        <v>21</v>
      </c>
      <c r="H87" t="s">
        <v>61</v>
      </c>
      <c r="I87" t="s">
        <v>31</v>
      </c>
      <c r="J87" t="s">
        <v>17</v>
      </c>
      <c r="K87" t="s">
        <v>18</v>
      </c>
    </row>
    <row r="88" spans="1:11" x14ac:dyDescent="0.2">
      <c r="A88">
        <v>6619</v>
      </c>
      <c r="B88" t="s">
        <v>11</v>
      </c>
      <c r="C88" t="s">
        <v>12</v>
      </c>
      <c r="D88" t="s">
        <v>12</v>
      </c>
      <c r="E88">
        <v>0</v>
      </c>
      <c r="F88" t="s">
        <v>34</v>
      </c>
      <c r="G88" t="s">
        <v>14</v>
      </c>
      <c r="I88" t="s">
        <v>65</v>
      </c>
      <c r="J88" t="s">
        <v>48</v>
      </c>
      <c r="K88" t="s">
        <v>48</v>
      </c>
    </row>
    <row r="89" spans="1:11" x14ac:dyDescent="0.2">
      <c r="A89">
        <v>4379</v>
      </c>
      <c r="B89" t="s">
        <v>11</v>
      </c>
      <c r="C89" t="s">
        <v>19</v>
      </c>
      <c r="D89" t="s">
        <v>20</v>
      </c>
      <c r="E89">
        <v>1</v>
      </c>
      <c r="F89" t="s">
        <v>392</v>
      </c>
      <c r="G89" t="s">
        <v>21</v>
      </c>
      <c r="I89" t="s">
        <v>23</v>
      </c>
      <c r="J89" t="s">
        <v>24</v>
      </c>
      <c r="K89" t="s">
        <v>65</v>
      </c>
    </row>
    <row r="90" spans="1:11" x14ac:dyDescent="0.2">
      <c r="A90">
        <v>923</v>
      </c>
      <c r="B90" t="s">
        <v>11</v>
      </c>
      <c r="C90" t="s">
        <v>12</v>
      </c>
      <c r="D90" t="s">
        <v>12</v>
      </c>
      <c r="E90">
        <v>0</v>
      </c>
      <c r="F90" t="s">
        <v>13</v>
      </c>
      <c r="G90" t="s">
        <v>14</v>
      </c>
      <c r="H90" t="s">
        <v>61</v>
      </c>
      <c r="I90" t="s">
        <v>31</v>
      </c>
      <c r="J90" t="s">
        <v>24</v>
      </c>
      <c r="K90" t="s">
        <v>103</v>
      </c>
    </row>
    <row r="91" spans="1:11" x14ac:dyDescent="0.2">
      <c r="A91">
        <v>1186</v>
      </c>
      <c r="B91" t="s">
        <v>11</v>
      </c>
      <c r="C91" t="s">
        <v>12</v>
      </c>
      <c r="D91" t="s">
        <v>12</v>
      </c>
      <c r="E91">
        <v>0</v>
      </c>
      <c r="F91" t="s">
        <v>13</v>
      </c>
      <c r="G91" t="s">
        <v>29</v>
      </c>
      <c r="I91" t="s">
        <v>23</v>
      </c>
      <c r="J91" t="s">
        <v>24</v>
      </c>
      <c r="K91" t="s">
        <v>104</v>
      </c>
    </row>
    <row r="92" spans="1:11" x14ac:dyDescent="0.2">
      <c r="A92">
        <v>6552</v>
      </c>
      <c r="B92" t="s">
        <v>11</v>
      </c>
      <c r="C92" t="s">
        <v>19</v>
      </c>
      <c r="D92" t="s">
        <v>12</v>
      </c>
      <c r="E92">
        <v>1</v>
      </c>
      <c r="F92" t="s">
        <v>394</v>
      </c>
      <c r="G92" t="s">
        <v>21</v>
      </c>
      <c r="I92" t="s">
        <v>31</v>
      </c>
      <c r="J92" t="s">
        <v>17</v>
      </c>
      <c r="K92" t="s">
        <v>50</v>
      </c>
    </row>
    <row r="93" spans="1:11" x14ac:dyDescent="0.2">
      <c r="A93">
        <v>2292</v>
      </c>
      <c r="B93" t="s">
        <v>11</v>
      </c>
      <c r="C93" t="s">
        <v>12</v>
      </c>
      <c r="D93" t="s">
        <v>12</v>
      </c>
      <c r="E93">
        <v>0</v>
      </c>
      <c r="F93" t="s">
        <v>392</v>
      </c>
      <c r="G93" t="s">
        <v>14</v>
      </c>
      <c r="I93" t="s">
        <v>31</v>
      </c>
      <c r="J93" t="s">
        <v>24</v>
      </c>
      <c r="K93" t="s">
        <v>24</v>
      </c>
    </row>
    <row r="94" spans="1:11" x14ac:dyDescent="0.2">
      <c r="A94">
        <v>5978</v>
      </c>
      <c r="B94" t="s">
        <v>11</v>
      </c>
      <c r="C94" t="s">
        <v>12</v>
      </c>
      <c r="D94" t="s">
        <v>12</v>
      </c>
      <c r="E94">
        <v>0</v>
      </c>
      <c r="F94" t="s">
        <v>394</v>
      </c>
      <c r="G94" t="s">
        <v>56</v>
      </c>
      <c r="H94" t="s">
        <v>57</v>
      </c>
      <c r="I94" t="s">
        <v>31</v>
      </c>
      <c r="J94" t="s">
        <v>55</v>
      </c>
      <c r="K94" t="s">
        <v>87</v>
      </c>
    </row>
    <row r="95" spans="1:11" x14ac:dyDescent="0.2">
      <c r="A95">
        <v>5891</v>
      </c>
      <c r="B95" t="s">
        <v>11</v>
      </c>
      <c r="C95" t="s">
        <v>19</v>
      </c>
      <c r="D95" t="s">
        <v>20</v>
      </c>
      <c r="E95">
        <v>1</v>
      </c>
      <c r="F95" t="s">
        <v>392</v>
      </c>
      <c r="G95" t="s">
        <v>21</v>
      </c>
      <c r="H95" t="s">
        <v>105</v>
      </c>
      <c r="I95" t="s">
        <v>52</v>
      </c>
      <c r="J95" t="s">
        <v>24</v>
      </c>
      <c r="K95" t="s">
        <v>24</v>
      </c>
    </row>
    <row r="96" spans="1:11" x14ac:dyDescent="0.2">
      <c r="A96">
        <v>7289</v>
      </c>
      <c r="B96" t="s">
        <v>11</v>
      </c>
      <c r="C96" t="s">
        <v>19</v>
      </c>
      <c r="D96" t="s">
        <v>19</v>
      </c>
      <c r="E96">
        <v>0</v>
      </c>
      <c r="F96" t="s">
        <v>34</v>
      </c>
      <c r="G96" t="s">
        <v>21</v>
      </c>
      <c r="H96" t="s">
        <v>67</v>
      </c>
      <c r="I96" t="s">
        <v>43</v>
      </c>
      <c r="J96" t="s">
        <v>38</v>
      </c>
      <c r="K96" t="s">
        <v>38</v>
      </c>
    </row>
    <row r="97" spans="1:11" x14ac:dyDescent="0.2">
      <c r="A97">
        <v>3810</v>
      </c>
      <c r="B97" t="s">
        <v>11</v>
      </c>
      <c r="C97" t="s">
        <v>12</v>
      </c>
      <c r="D97" t="s">
        <v>12</v>
      </c>
      <c r="E97">
        <v>0</v>
      </c>
      <c r="F97" t="s">
        <v>13</v>
      </c>
      <c r="G97" t="s">
        <v>29</v>
      </c>
      <c r="I97" t="s">
        <v>31</v>
      </c>
      <c r="J97" t="s">
        <v>38</v>
      </c>
      <c r="K97" t="s">
        <v>32</v>
      </c>
    </row>
    <row r="98" spans="1:11" x14ac:dyDescent="0.2">
      <c r="A98">
        <v>2814</v>
      </c>
      <c r="B98" t="s">
        <v>11</v>
      </c>
      <c r="C98" t="s">
        <v>12</v>
      </c>
      <c r="D98" t="s">
        <v>20</v>
      </c>
      <c r="E98">
        <v>1</v>
      </c>
      <c r="F98" t="s">
        <v>392</v>
      </c>
      <c r="G98" t="s">
        <v>21</v>
      </c>
      <c r="H98" t="s">
        <v>81</v>
      </c>
      <c r="I98" t="s">
        <v>31</v>
      </c>
      <c r="J98" t="s">
        <v>24</v>
      </c>
      <c r="K98" t="s">
        <v>24</v>
      </c>
    </row>
    <row r="99" spans="1:11" x14ac:dyDescent="0.2">
      <c r="A99">
        <v>8263</v>
      </c>
      <c r="B99" t="s">
        <v>11</v>
      </c>
      <c r="C99" t="s">
        <v>19</v>
      </c>
      <c r="D99" t="s">
        <v>19</v>
      </c>
      <c r="E99">
        <v>0</v>
      </c>
      <c r="F99" t="s">
        <v>34</v>
      </c>
      <c r="G99" t="s">
        <v>21</v>
      </c>
      <c r="H99" t="s">
        <v>106</v>
      </c>
      <c r="I99" t="s">
        <v>31</v>
      </c>
      <c r="J99" t="s">
        <v>38</v>
      </c>
      <c r="K99" t="s">
        <v>54</v>
      </c>
    </row>
    <row r="100" spans="1:11" x14ac:dyDescent="0.2">
      <c r="A100">
        <v>5264</v>
      </c>
      <c r="B100" t="s">
        <v>11</v>
      </c>
      <c r="C100" t="s">
        <v>19</v>
      </c>
      <c r="D100" t="s">
        <v>19</v>
      </c>
      <c r="E100">
        <v>0</v>
      </c>
      <c r="F100" t="s">
        <v>394</v>
      </c>
      <c r="G100" t="s">
        <v>21</v>
      </c>
      <c r="H100" t="s">
        <v>30</v>
      </c>
      <c r="I100" t="s">
        <v>31</v>
      </c>
      <c r="J100" t="s">
        <v>32</v>
      </c>
      <c r="K100" t="s">
        <v>33</v>
      </c>
    </row>
    <row r="101" spans="1:11" x14ac:dyDescent="0.2">
      <c r="A101">
        <v>2480</v>
      </c>
      <c r="B101" t="s">
        <v>11</v>
      </c>
      <c r="C101" t="s">
        <v>12</v>
      </c>
      <c r="D101" t="s">
        <v>12</v>
      </c>
      <c r="E101">
        <v>0</v>
      </c>
      <c r="F101" t="s">
        <v>13</v>
      </c>
      <c r="G101" t="s">
        <v>14</v>
      </c>
      <c r="H101" t="s">
        <v>25</v>
      </c>
      <c r="I101" t="s">
        <v>26</v>
      </c>
      <c r="J101" t="s">
        <v>24</v>
      </c>
      <c r="K101" t="s">
        <v>107</v>
      </c>
    </row>
    <row r="102" spans="1:11" x14ac:dyDescent="0.2">
      <c r="A102">
        <v>1713</v>
      </c>
      <c r="B102" t="s">
        <v>11</v>
      </c>
      <c r="C102" t="s">
        <v>19</v>
      </c>
      <c r="D102" t="s">
        <v>12</v>
      </c>
      <c r="E102">
        <v>1</v>
      </c>
      <c r="F102" t="s">
        <v>394</v>
      </c>
      <c r="G102" t="s">
        <v>21</v>
      </c>
      <c r="H102" t="s">
        <v>61</v>
      </c>
      <c r="I102" t="s">
        <v>31</v>
      </c>
      <c r="J102" t="s">
        <v>24</v>
      </c>
      <c r="K102" t="s">
        <v>18</v>
      </c>
    </row>
    <row r="103" spans="1:11" x14ac:dyDescent="0.2">
      <c r="A103">
        <v>877</v>
      </c>
      <c r="B103" t="s">
        <v>11</v>
      </c>
      <c r="C103" t="s">
        <v>19</v>
      </c>
      <c r="D103" t="s">
        <v>20</v>
      </c>
      <c r="E103">
        <v>1</v>
      </c>
      <c r="F103" t="s">
        <v>392</v>
      </c>
      <c r="G103" t="s">
        <v>21</v>
      </c>
      <c r="H103" t="s">
        <v>108</v>
      </c>
      <c r="I103" t="s">
        <v>52</v>
      </c>
      <c r="J103" t="s">
        <v>24</v>
      </c>
    </row>
    <row r="104" spans="1:11" x14ac:dyDescent="0.2">
      <c r="A104">
        <v>7536</v>
      </c>
      <c r="B104" t="s">
        <v>11</v>
      </c>
      <c r="C104" t="s">
        <v>12</v>
      </c>
      <c r="D104" t="s">
        <v>12</v>
      </c>
      <c r="E104">
        <v>0</v>
      </c>
      <c r="F104" t="s">
        <v>34</v>
      </c>
      <c r="G104" t="s">
        <v>109</v>
      </c>
      <c r="H104" t="s">
        <v>49</v>
      </c>
      <c r="I104" t="s">
        <v>16</v>
      </c>
      <c r="J104" t="s">
        <v>38</v>
      </c>
      <c r="K104" t="s">
        <v>110</v>
      </c>
    </row>
    <row r="105" spans="1:11" x14ac:dyDescent="0.2">
      <c r="A105">
        <v>5661</v>
      </c>
      <c r="B105" t="s">
        <v>11</v>
      </c>
      <c r="C105" t="s">
        <v>12</v>
      </c>
      <c r="D105" t="s">
        <v>12</v>
      </c>
      <c r="E105">
        <v>0</v>
      </c>
      <c r="F105" t="s">
        <v>13</v>
      </c>
      <c r="G105" t="s">
        <v>56</v>
      </c>
      <c r="H105" t="s">
        <v>49</v>
      </c>
      <c r="I105" t="s">
        <v>16</v>
      </c>
      <c r="J105" t="s">
        <v>24</v>
      </c>
      <c r="K105" t="s">
        <v>24</v>
      </c>
    </row>
    <row r="106" spans="1:11" x14ac:dyDescent="0.2">
      <c r="A106">
        <v>9980</v>
      </c>
      <c r="B106" t="s">
        <v>11</v>
      </c>
      <c r="C106" t="s">
        <v>12</v>
      </c>
      <c r="D106" t="s">
        <v>12</v>
      </c>
      <c r="E106">
        <v>0</v>
      </c>
      <c r="F106" t="s">
        <v>13</v>
      </c>
      <c r="G106" t="s">
        <v>45</v>
      </c>
      <c r="H106" t="s">
        <v>25</v>
      </c>
      <c r="I106" t="s">
        <v>26</v>
      </c>
      <c r="J106" t="s">
        <v>38</v>
      </c>
      <c r="K106" t="s">
        <v>38</v>
      </c>
    </row>
    <row r="107" spans="1:11" x14ac:dyDescent="0.2">
      <c r="A107">
        <v>6279</v>
      </c>
      <c r="B107" t="s">
        <v>11</v>
      </c>
      <c r="C107" t="s">
        <v>12</v>
      </c>
      <c r="D107" t="s">
        <v>12</v>
      </c>
      <c r="E107">
        <v>0</v>
      </c>
      <c r="F107" t="s">
        <v>13</v>
      </c>
      <c r="G107" t="s">
        <v>56</v>
      </c>
      <c r="I107" t="s">
        <v>23</v>
      </c>
      <c r="J107" t="s">
        <v>17</v>
      </c>
      <c r="K107" t="s">
        <v>17</v>
      </c>
    </row>
    <row r="108" spans="1:11" x14ac:dyDescent="0.2">
      <c r="A108">
        <v>9861</v>
      </c>
      <c r="B108" t="s">
        <v>11</v>
      </c>
      <c r="C108" t="s">
        <v>19</v>
      </c>
      <c r="D108" t="s">
        <v>20</v>
      </c>
      <c r="E108">
        <v>1</v>
      </c>
      <c r="F108" t="s">
        <v>392</v>
      </c>
      <c r="G108" t="s">
        <v>21</v>
      </c>
      <c r="H108" t="s">
        <v>49</v>
      </c>
      <c r="I108" t="s">
        <v>16</v>
      </c>
      <c r="J108" t="s">
        <v>24</v>
      </c>
      <c r="K108" t="s">
        <v>27</v>
      </c>
    </row>
    <row r="109" spans="1:11" x14ac:dyDescent="0.2">
      <c r="A109">
        <v>9505</v>
      </c>
      <c r="B109" t="s">
        <v>11</v>
      </c>
      <c r="C109" t="s">
        <v>12</v>
      </c>
      <c r="D109" t="s">
        <v>12</v>
      </c>
      <c r="E109">
        <v>0</v>
      </c>
      <c r="F109" t="s">
        <v>13</v>
      </c>
      <c r="G109" t="s">
        <v>29</v>
      </c>
      <c r="H109" t="s">
        <v>25</v>
      </c>
      <c r="I109" t="s">
        <v>26</v>
      </c>
      <c r="J109" t="s">
        <v>38</v>
      </c>
      <c r="K109" t="s">
        <v>97</v>
      </c>
    </row>
    <row r="110" spans="1:11" x14ac:dyDescent="0.2">
      <c r="A110">
        <v>940</v>
      </c>
      <c r="B110" t="s">
        <v>11</v>
      </c>
      <c r="C110" t="s">
        <v>12</v>
      </c>
      <c r="D110" t="s">
        <v>12</v>
      </c>
      <c r="E110">
        <v>0</v>
      </c>
      <c r="F110" t="s">
        <v>13</v>
      </c>
      <c r="G110" t="s">
        <v>14</v>
      </c>
      <c r="H110" t="s">
        <v>61</v>
      </c>
      <c r="I110" t="s">
        <v>31</v>
      </c>
      <c r="J110" t="s">
        <v>24</v>
      </c>
      <c r="K110" t="s">
        <v>104</v>
      </c>
    </row>
    <row r="111" spans="1:11" x14ac:dyDescent="0.2">
      <c r="A111">
        <v>6002</v>
      </c>
      <c r="B111" t="s">
        <v>11</v>
      </c>
      <c r="C111" t="s">
        <v>12</v>
      </c>
      <c r="D111" t="s">
        <v>20</v>
      </c>
      <c r="E111">
        <v>1</v>
      </c>
      <c r="F111" t="s">
        <v>392</v>
      </c>
      <c r="G111" t="s">
        <v>56</v>
      </c>
      <c r="H111" t="s">
        <v>49</v>
      </c>
      <c r="I111" t="s">
        <v>16</v>
      </c>
      <c r="J111" t="s">
        <v>24</v>
      </c>
      <c r="K111" t="s">
        <v>65</v>
      </c>
    </row>
    <row r="112" spans="1:11" x14ac:dyDescent="0.2">
      <c r="A112">
        <v>6121</v>
      </c>
      <c r="B112" t="s">
        <v>11</v>
      </c>
      <c r="C112" t="s">
        <v>12</v>
      </c>
      <c r="D112" t="s">
        <v>20</v>
      </c>
      <c r="E112">
        <v>1</v>
      </c>
      <c r="F112" t="s">
        <v>392</v>
      </c>
      <c r="G112" t="s">
        <v>21</v>
      </c>
      <c r="H112" t="s">
        <v>111</v>
      </c>
      <c r="I112" t="s">
        <v>23</v>
      </c>
      <c r="J112" t="s">
        <v>24</v>
      </c>
    </row>
    <row r="113" spans="1:11" x14ac:dyDescent="0.2">
      <c r="A113">
        <v>3193</v>
      </c>
      <c r="B113" t="s">
        <v>11</v>
      </c>
      <c r="C113" t="s">
        <v>19</v>
      </c>
      <c r="D113" t="s">
        <v>19</v>
      </c>
      <c r="E113">
        <v>0</v>
      </c>
      <c r="F113" t="s">
        <v>394</v>
      </c>
      <c r="G113" t="s">
        <v>21</v>
      </c>
      <c r="H113" t="s">
        <v>25</v>
      </c>
      <c r="I113" t="s">
        <v>26</v>
      </c>
      <c r="J113" t="s">
        <v>38</v>
      </c>
      <c r="K113" t="s">
        <v>112</v>
      </c>
    </row>
    <row r="114" spans="1:11" x14ac:dyDescent="0.2">
      <c r="A114">
        <v>5796</v>
      </c>
      <c r="B114" t="s">
        <v>11</v>
      </c>
      <c r="C114" t="s">
        <v>12</v>
      </c>
      <c r="D114" t="s">
        <v>12</v>
      </c>
      <c r="E114">
        <v>0</v>
      </c>
      <c r="F114" t="s">
        <v>13</v>
      </c>
      <c r="G114" t="s">
        <v>29</v>
      </c>
      <c r="H114" t="s">
        <v>61</v>
      </c>
      <c r="I114" t="s">
        <v>31</v>
      </c>
      <c r="J114" t="s">
        <v>65</v>
      </c>
      <c r="K114" t="s">
        <v>17</v>
      </c>
    </row>
    <row r="115" spans="1:11" x14ac:dyDescent="0.2">
      <c r="A115">
        <v>9845</v>
      </c>
      <c r="B115" t="s">
        <v>11</v>
      </c>
      <c r="C115" t="s">
        <v>12</v>
      </c>
      <c r="D115" t="s">
        <v>12</v>
      </c>
      <c r="E115">
        <v>0</v>
      </c>
      <c r="F115" t="s">
        <v>13</v>
      </c>
      <c r="G115" t="s">
        <v>29</v>
      </c>
      <c r="H115" t="s">
        <v>25</v>
      </c>
      <c r="I115" t="s">
        <v>26</v>
      </c>
      <c r="J115" t="s">
        <v>38</v>
      </c>
      <c r="K115" t="s">
        <v>87</v>
      </c>
    </row>
    <row r="116" spans="1:11" x14ac:dyDescent="0.2">
      <c r="A116">
        <v>2911</v>
      </c>
      <c r="B116" t="s">
        <v>11</v>
      </c>
      <c r="C116" t="s">
        <v>12</v>
      </c>
      <c r="D116" t="s">
        <v>12</v>
      </c>
      <c r="E116">
        <v>0</v>
      </c>
      <c r="F116" t="s">
        <v>394</v>
      </c>
      <c r="G116" t="s">
        <v>14</v>
      </c>
      <c r="I116" t="s">
        <v>37</v>
      </c>
      <c r="J116" t="s">
        <v>24</v>
      </c>
      <c r="K116" t="s">
        <v>83</v>
      </c>
    </row>
    <row r="117" spans="1:11" x14ac:dyDescent="0.2">
      <c r="A117">
        <v>10238</v>
      </c>
      <c r="B117" t="s">
        <v>11</v>
      </c>
      <c r="C117" t="s">
        <v>12</v>
      </c>
      <c r="D117" t="s">
        <v>12</v>
      </c>
      <c r="E117">
        <v>0</v>
      </c>
      <c r="F117" t="s">
        <v>34</v>
      </c>
      <c r="G117" t="s">
        <v>56</v>
      </c>
      <c r="H117" t="s">
        <v>46</v>
      </c>
      <c r="I117" t="s">
        <v>43</v>
      </c>
      <c r="J117" t="s">
        <v>17</v>
      </c>
      <c r="K117" t="s">
        <v>17</v>
      </c>
    </row>
    <row r="118" spans="1:11" x14ac:dyDescent="0.2">
      <c r="A118">
        <v>7345</v>
      </c>
      <c r="B118" t="s">
        <v>11</v>
      </c>
      <c r="C118" t="s">
        <v>12</v>
      </c>
      <c r="D118" t="s">
        <v>12</v>
      </c>
      <c r="E118">
        <v>0</v>
      </c>
      <c r="F118" t="s">
        <v>13</v>
      </c>
      <c r="G118" t="s">
        <v>14</v>
      </c>
      <c r="H118" t="s">
        <v>61</v>
      </c>
      <c r="I118" t="s">
        <v>31</v>
      </c>
      <c r="J118" t="s">
        <v>24</v>
      </c>
      <c r="K118" t="s">
        <v>24</v>
      </c>
    </row>
    <row r="119" spans="1:11" x14ac:dyDescent="0.2">
      <c r="A119">
        <v>1947</v>
      </c>
      <c r="B119" t="s">
        <v>11</v>
      </c>
      <c r="C119" t="s">
        <v>19</v>
      </c>
      <c r="D119" t="s">
        <v>19</v>
      </c>
      <c r="E119">
        <v>0</v>
      </c>
      <c r="F119" t="s">
        <v>394</v>
      </c>
      <c r="G119" t="s">
        <v>21</v>
      </c>
      <c r="H119" t="s">
        <v>57</v>
      </c>
      <c r="I119" t="s">
        <v>31</v>
      </c>
      <c r="J119" t="s">
        <v>38</v>
      </c>
      <c r="K119" t="s">
        <v>66</v>
      </c>
    </row>
    <row r="120" spans="1:11" x14ac:dyDescent="0.2">
      <c r="A120">
        <v>8600</v>
      </c>
      <c r="B120" t="s">
        <v>11</v>
      </c>
      <c r="C120" t="s">
        <v>12</v>
      </c>
      <c r="D120" t="s">
        <v>12</v>
      </c>
      <c r="E120">
        <v>0</v>
      </c>
      <c r="F120" t="s">
        <v>394</v>
      </c>
      <c r="G120" t="s">
        <v>56</v>
      </c>
      <c r="H120" t="s">
        <v>113</v>
      </c>
      <c r="I120" t="s">
        <v>23</v>
      </c>
      <c r="J120" t="s">
        <v>24</v>
      </c>
      <c r="K120" t="s">
        <v>24</v>
      </c>
    </row>
    <row r="121" spans="1:11" x14ac:dyDescent="0.2">
      <c r="A121">
        <v>1751</v>
      </c>
      <c r="B121" t="s">
        <v>11</v>
      </c>
      <c r="C121" t="s">
        <v>19</v>
      </c>
      <c r="D121" t="s">
        <v>12</v>
      </c>
      <c r="E121">
        <v>1</v>
      </c>
      <c r="F121" t="s">
        <v>13</v>
      </c>
      <c r="G121" t="s">
        <v>21</v>
      </c>
      <c r="H121" t="s">
        <v>114</v>
      </c>
      <c r="I121" t="s">
        <v>23</v>
      </c>
      <c r="J121" t="s">
        <v>17</v>
      </c>
      <c r="K121" t="s">
        <v>50</v>
      </c>
    </row>
    <row r="122" spans="1:11" x14ac:dyDescent="0.2">
      <c r="A122">
        <v>5771</v>
      </c>
      <c r="B122" t="s">
        <v>11</v>
      </c>
      <c r="C122" t="s">
        <v>19</v>
      </c>
      <c r="D122" t="s">
        <v>12</v>
      </c>
      <c r="E122">
        <v>1</v>
      </c>
      <c r="F122" t="s">
        <v>13</v>
      </c>
      <c r="G122" t="s">
        <v>21</v>
      </c>
      <c r="H122" t="s">
        <v>99</v>
      </c>
      <c r="I122" t="s">
        <v>23</v>
      </c>
      <c r="J122" t="s">
        <v>24</v>
      </c>
      <c r="K122" t="s">
        <v>18</v>
      </c>
    </row>
    <row r="123" spans="1:11" x14ac:dyDescent="0.2">
      <c r="A123">
        <v>6408</v>
      </c>
      <c r="B123" t="s">
        <v>11</v>
      </c>
      <c r="C123" t="s">
        <v>12</v>
      </c>
      <c r="D123" t="s">
        <v>12</v>
      </c>
      <c r="E123">
        <v>0</v>
      </c>
      <c r="F123" t="s">
        <v>394</v>
      </c>
      <c r="G123" t="s">
        <v>45</v>
      </c>
      <c r="H123" t="s">
        <v>46</v>
      </c>
      <c r="I123" t="s">
        <v>23</v>
      </c>
      <c r="J123" t="s">
        <v>88</v>
      </c>
      <c r="K123" t="s">
        <v>115</v>
      </c>
    </row>
    <row r="124" spans="1:11" x14ac:dyDescent="0.2">
      <c r="A124">
        <v>5300</v>
      </c>
      <c r="B124" t="s">
        <v>11</v>
      </c>
      <c r="C124" t="s">
        <v>12</v>
      </c>
      <c r="D124" t="s">
        <v>12</v>
      </c>
      <c r="E124">
        <v>0</v>
      </c>
      <c r="F124" t="s">
        <v>13</v>
      </c>
      <c r="G124" t="s">
        <v>29</v>
      </c>
      <c r="H124" t="s">
        <v>61</v>
      </c>
      <c r="I124" t="s">
        <v>31</v>
      </c>
      <c r="J124" t="s">
        <v>38</v>
      </c>
      <c r="K124" t="s">
        <v>116</v>
      </c>
    </row>
    <row r="125" spans="1:11" x14ac:dyDescent="0.2">
      <c r="A125">
        <v>8232</v>
      </c>
      <c r="B125" t="s">
        <v>11</v>
      </c>
      <c r="C125" t="s">
        <v>12</v>
      </c>
      <c r="D125" t="s">
        <v>12</v>
      </c>
      <c r="E125">
        <v>0</v>
      </c>
      <c r="F125" t="s">
        <v>13</v>
      </c>
      <c r="G125" t="s">
        <v>45</v>
      </c>
      <c r="H125" t="s">
        <v>105</v>
      </c>
      <c r="I125" t="s">
        <v>43</v>
      </c>
      <c r="J125" t="s">
        <v>88</v>
      </c>
      <c r="K125" t="s">
        <v>117</v>
      </c>
    </row>
    <row r="126" spans="1:11" x14ac:dyDescent="0.2">
      <c r="A126">
        <v>5034</v>
      </c>
      <c r="B126" t="s">
        <v>11</v>
      </c>
      <c r="C126" t="s">
        <v>19</v>
      </c>
      <c r="D126" t="s">
        <v>19</v>
      </c>
      <c r="E126">
        <v>0</v>
      </c>
      <c r="F126" t="s">
        <v>13</v>
      </c>
      <c r="G126" t="s">
        <v>21</v>
      </c>
      <c r="I126" t="s">
        <v>26</v>
      </c>
      <c r="J126" t="s">
        <v>24</v>
      </c>
      <c r="K126" t="s">
        <v>97</v>
      </c>
    </row>
    <row r="127" spans="1:11" x14ac:dyDescent="0.2">
      <c r="A127">
        <v>1983</v>
      </c>
      <c r="B127" t="s">
        <v>11</v>
      </c>
      <c r="C127" t="s">
        <v>19</v>
      </c>
      <c r="D127" t="s">
        <v>20</v>
      </c>
      <c r="E127">
        <v>1</v>
      </c>
      <c r="F127" t="s">
        <v>392</v>
      </c>
      <c r="G127" t="s">
        <v>56</v>
      </c>
      <c r="H127" t="s">
        <v>118</v>
      </c>
      <c r="I127" t="s">
        <v>31</v>
      </c>
      <c r="J127" t="s">
        <v>65</v>
      </c>
      <c r="K127" t="s">
        <v>65</v>
      </c>
    </row>
    <row r="128" spans="1:11" x14ac:dyDescent="0.2">
      <c r="A128">
        <v>10181</v>
      </c>
      <c r="B128" t="s">
        <v>11</v>
      </c>
      <c r="C128" t="s">
        <v>12</v>
      </c>
      <c r="D128" t="s">
        <v>12</v>
      </c>
      <c r="E128">
        <v>0</v>
      </c>
      <c r="F128" t="s">
        <v>13</v>
      </c>
      <c r="G128" t="s">
        <v>29</v>
      </c>
      <c r="H128" t="s">
        <v>25</v>
      </c>
      <c r="I128" t="s">
        <v>26</v>
      </c>
      <c r="J128" t="s">
        <v>38</v>
      </c>
      <c r="K128" t="s">
        <v>54</v>
      </c>
    </row>
    <row r="129" spans="1:11" x14ac:dyDescent="0.2">
      <c r="A129">
        <v>5331</v>
      </c>
      <c r="B129" t="s">
        <v>11</v>
      </c>
      <c r="C129" t="s">
        <v>12</v>
      </c>
      <c r="D129" t="s">
        <v>12</v>
      </c>
      <c r="E129">
        <v>0</v>
      </c>
      <c r="F129" t="s">
        <v>13</v>
      </c>
      <c r="G129" t="s">
        <v>29</v>
      </c>
      <c r="H129" t="s">
        <v>61</v>
      </c>
      <c r="I129" t="s">
        <v>31</v>
      </c>
      <c r="J129" t="s">
        <v>88</v>
      </c>
      <c r="K129" t="s">
        <v>119</v>
      </c>
    </row>
    <row r="130" spans="1:11" x14ac:dyDescent="0.2">
      <c r="A130">
        <v>2941</v>
      </c>
      <c r="B130" t="s">
        <v>11</v>
      </c>
      <c r="C130" t="s">
        <v>12</v>
      </c>
      <c r="D130" t="s">
        <v>12</v>
      </c>
      <c r="E130">
        <v>0</v>
      </c>
      <c r="F130" t="s">
        <v>394</v>
      </c>
      <c r="G130" t="s">
        <v>14</v>
      </c>
      <c r="I130" t="s">
        <v>37</v>
      </c>
      <c r="J130" t="s">
        <v>24</v>
      </c>
      <c r="K130" t="s">
        <v>24</v>
      </c>
    </row>
    <row r="131" spans="1:11" x14ac:dyDescent="0.2">
      <c r="A131">
        <v>2219</v>
      </c>
      <c r="B131" t="s">
        <v>11</v>
      </c>
      <c r="C131" t="s">
        <v>19</v>
      </c>
      <c r="D131" t="s">
        <v>20</v>
      </c>
      <c r="E131">
        <v>1</v>
      </c>
      <c r="F131" t="s">
        <v>392</v>
      </c>
      <c r="G131" t="s">
        <v>56</v>
      </c>
      <c r="H131" t="s">
        <v>49</v>
      </c>
      <c r="I131" t="s">
        <v>16</v>
      </c>
      <c r="J131" t="s">
        <v>24</v>
      </c>
      <c r="K131" t="s">
        <v>62</v>
      </c>
    </row>
    <row r="132" spans="1:11" x14ac:dyDescent="0.2">
      <c r="A132">
        <v>4277</v>
      </c>
      <c r="B132" t="s">
        <v>11</v>
      </c>
      <c r="C132" t="s">
        <v>12</v>
      </c>
      <c r="D132" t="s">
        <v>12</v>
      </c>
      <c r="E132">
        <v>0</v>
      </c>
      <c r="F132" t="s">
        <v>34</v>
      </c>
      <c r="G132" t="s">
        <v>56</v>
      </c>
      <c r="H132" t="s">
        <v>46</v>
      </c>
      <c r="I132" t="s">
        <v>43</v>
      </c>
      <c r="J132" t="s">
        <v>48</v>
      </c>
      <c r="K132" t="s">
        <v>63</v>
      </c>
    </row>
    <row r="133" spans="1:11" x14ac:dyDescent="0.2">
      <c r="A133">
        <v>8589</v>
      </c>
      <c r="B133" t="s">
        <v>11</v>
      </c>
      <c r="C133" t="s">
        <v>19</v>
      </c>
      <c r="D133" t="s">
        <v>20</v>
      </c>
      <c r="E133">
        <v>1</v>
      </c>
      <c r="F133" t="s">
        <v>392</v>
      </c>
      <c r="G133" t="s">
        <v>21</v>
      </c>
      <c r="H133" t="s">
        <v>49</v>
      </c>
      <c r="I133" t="s">
        <v>16</v>
      </c>
      <c r="J133" t="s">
        <v>24</v>
      </c>
      <c r="K133" t="s">
        <v>98</v>
      </c>
    </row>
    <row r="134" spans="1:11" x14ac:dyDescent="0.2">
      <c r="A134">
        <v>2326</v>
      </c>
      <c r="B134" t="s">
        <v>11</v>
      </c>
      <c r="C134" t="s">
        <v>12</v>
      </c>
      <c r="D134" t="s">
        <v>12</v>
      </c>
      <c r="E134">
        <v>0</v>
      </c>
      <c r="F134" t="s">
        <v>13</v>
      </c>
      <c r="G134" t="s">
        <v>14</v>
      </c>
      <c r="H134" t="s">
        <v>25</v>
      </c>
      <c r="I134" t="s">
        <v>26</v>
      </c>
      <c r="J134" t="s">
        <v>38</v>
      </c>
      <c r="K134" t="s">
        <v>97</v>
      </c>
    </row>
    <row r="135" spans="1:11" x14ac:dyDescent="0.2">
      <c r="A135">
        <v>3279</v>
      </c>
      <c r="B135" t="s">
        <v>11</v>
      </c>
      <c r="C135" t="s">
        <v>12</v>
      </c>
      <c r="D135" t="s">
        <v>12</v>
      </c>
      <c r="E135">
        <v>0</v>
      </c>
      <c r="F135" t="s">
        <v>34</v>
      </c>
      <c r="G135" t="s">
        <v>29</v>
      </c>
      <c r="H135" t="s">
        <v>51</v>
      </c>
      <c r="I135" t="s">
        <v>52</v>
      </c>
      <c r="J135" t="s">
        <v>17</v>
      </c>
      <c r="K135" t="s">
        <v>17</v>
      </c>
    </row>
    <row r="136" spans="1:11" x14ac:dyDescent="0.2">
      <c r="A136">
        <v>4838</v>
      </c>
      <c r="B136" t="s">
        <v>11</v>
      </c>
      <c r="C136" t="s">
        <v>19</v>
      </c>
      <c r="D136" t="s">
        <v>12</v>
      </c>
      <c r="E136">
        <v>1</v>
      </c>
      <c r="F136" t="s">
        <v>13</v>
      </c>
      <c r="G136" t="s">
        <v>21</v>
      </c>
      <c r="I136" t="s">
        <v>31</v>
      </c>
      <c r="J136" t="s">
        <v>24</v>
      </c>
      <c r="K136" t="s">
        <v>18</v>
      </c>
    </row>
    <row r="137" spans="1:11" x14ac:dyDescent="0.2">
      <c r="A137">
        <v>6629</v>
      </c>
      <c r="B137" t="s">
        <v>11</v>
      </c>
      <c r="C137" t="s">
        <v>12</v>
      </c>
      <c r="D137" t="s">
        <v>12</v>
      </c>
      <c r="E137">
        <v>0</v>
      </c>
      <c r="F137" t="s">
        <v>34</v>
      </c>
      <c r="G137" t="s">
        <v>14</v>
      </c>
      <c r="I137" t="s">
        <v>31</v>
      </c>
      <c r="J137" t="s">
        <v>48</v>
      </c>
      <c r="K137" t="s">
        <v>63</v>
      </c>
    </row>
    <row r="138" spans="1:11" x14ac:dyDescent="0.2">
      <c r="A138">
        <v>5148</v>
      </c>
      <c r="B138" t="s">
        <v>11</v>
      </c>
      <c r="C138" t="s">
        <v>19</v>
      </c>
      <c r="D138" t="s">
        <v>12</v>
      </c>
      <c r="E138">
        <v>1</v>
      </c>
      <c r="F138" t="s">
        <v>394</v>
      </c>
      <c r="G138" t="s">
        <v>21</v>
      </c>
      <c r="H138" t="s">
        <v>49</v>
      </c>
      <c r="I138" t="s">
        <v>16</v>
      </c>
      <c r="J138" t="s">
        <v>17</v>
      </c>
      <c r="K138" t="s">
        <v>17</v>
      </c>
    </row>
    <row r="139" spans="1:11" x14ac:dyDescent="0.2">
      <c r="A139">
        <v>8410</v>
      </c>
      <c r="B139" t="s">
        <v>11</v>
      </c>
      <c r="C139" t="s">
        <v>12</v>
      </c>
      <c r="D139" t="s">
        <v>12</v>
      </c>
      <c r="E139">
        <v>0</v>
      </c>
      <c r="F139" t="s">
        <v>13</v>
      </c>
      <c r="G139" t="s">
        <v>14</v>
      </c>
      <c r="H139" t="s">
        <v>57</v>
      </c>
      <c r="I139" t="s">
        <v>31</v>
      </c>
      <c r="J139" t="s">
        <v>17</v>
      </c>
      <c r="K139" t="s">
        <v>92</v>
      </c>
    </row>
    <row r="140" spans="1:11" x14ac:dyDescent="0.2">
      <c r="A140">
        <v>3346</v>
      </c>
      <c r="B140" t="s">
        <v>11</v>
      </c>
      <c r="C140" t="s">
        <v>19</v>
      </c>
      <c r="D140" t="s">
        <v>19</v>
      </c>
      <c r="E140">
        <v>0</v>
      </c>
      <c r="F140" t="s">
        <v>394</v>
      </c>
      <c r="G140" t="s">
        <v>21</v>
      </c>
      <c r="H140" t="s">
        <v>61</v>
      </c>
      <c r="I140" t="s">
        <v>31</v>
      </c>
      <c r="J140" t="s">
        <v>32</v>
      </c>
      <c r="K140" t="s">
        <v>33</v>
      </c>
    </row>
    <row r="141" spans="1:11" x14ac:dyDescent="0.2">
      <c r="A141">
        <v>2241</v>
      </c>
      <c r="B141" t="s">
        <v>11</v>
      </c>
      <c r="C141" t="s">
        <v>12</v>
      </c>
      <c r="D141" t="s">
        <v>12</v>
      </c>
      <c r="E141">
        <v>0</v>
      </c>
      <c r="F141" t="s">
        <v>394</v>
      </c>
      <c r="G141" t="s">
        <v>29</v>
      </c>
      <c r="H141" t="s">
        <v>81</v>
      </c>
      <c r="I141" t="s">
        <v>31</v>
      </c>
      <c r="J141" t="s">
        <v>55</v>
      </c>
      <c r="K141" t="s">
        <v>120</v>
      </c>
    </row>
    <row r="142" spans="1:11" x14ac:dyDescent="0.2">
      <c r="A142">
        <v>4280</v>
      </c>
      <c r="B142" t="s">
        <v>11</v>
      </c>
      <c r="C142" t="s">
        <v>12</v>
      </c>
      <c r="D142" t="s">
        <v>12</v>
      </c>
      <c r="E142">
        <v>0</v>
      </c>
      <c r="F142" t="s">
        <v>34</v>
      </c>
      <c r="G142" t="s">
        <v>56</v>
      </c>
      <c r="H142" t="s">
        <v>46</v>
      </c>
      <c r="I142" t="s">
        <v>23</v>
      </c>
      <c r="J142" t="s">
        <v>48</v>
      </c>
      <c r="K142" t="s">
        <v>63</v>
      </c>
    </row>
    <row r="143" spans="1:11" x14ac:dyDescent="0.2">
      <c r="A143">
        <v>4533</v>
      </c>
      <c r="B143" t="s">
        <v>11</v>
      </c>
      <c r="C143" t="s">
        <v>12</v>
      </c>
      <c r="D143" t="s">
        <v>12</v>
      </c>
      <c r="E143">
        <v>0</v>
      </c>
      <c r="F143" t="s">
        <v>34</v>
      </c>
      <c r="G143" t="s">
        <v>29</v>
      </c>
      <c r="H143" t="s">
        <v>30</v>
      </c>
      <c r="I143" t="s">
        <v>31</v>
      </c>
      <c r="J143" t="s">
        <v>38</v>
      </c>
      <c r="K143" t="s">
        <v>44</v>
      </c>
    </row>
    <row r="144" spans="1:11" x14ac:dyDescent="0.2">
      <c r="A144">
        <v>10174</v>
      </c>
      <c r="B144" t="s">
        <v>11</v>
      </c>
      <c r="C144" t="s">
        <v>12</v>
      </c>
      <c r="D144" t="s">
        <v>12</v>
      </c>
      <c r="E144">
        <v>0</v>
      </c>
      <c r="F144" t="s">
        <v>13</v>
      </c>
      <c r="G144" t="s">
        <v>29</v>
      </c>
      <c r="H144" t="s">
        <v>25</v>
      </c>
      <c r="I144" t="s">
        <v>26</v>
      </c>
      <c r="J144" t="s">
        <v>55</v>
      </c>
      <c r="K144" t="s">
        <v>55</v>
      </c>
    </row>
    <row r="145" spans="1:11" x14ac:dyDescent="0.2">
      <c r="A145">
        <v>837</v>
      </c>
      <c r="B145" t="s">
        <v>11</v>
      </c>
      <c r="C145" t="s">
        <v>19</v>
      </c>
      <c r="D145" t="s">
        <v>20</v>
      </c>
      <c r="E145">
        <v>1</v>
      </c>
      <c r="F145" t="s">
        <v>392</v>
      </c>
      <c r="G145" t="s">
        <v>21</v>
      </c>
      <c r="H145" t="s">
        <v>49</v>
      </c>
      <c r="I145" t="s">
        <v>16</v>
      </c>
      <c r="J145" t="s">
        <v>24</v>
      </c>
      <c r="K145" t="s">
        <v>24</v>
      </c>
    </row>
    <row r="146" spans="1:11" x14ac:dyDescent="0.2">
      <c r="A146">
        <v>8425</v>
      </c>
      <c r="B146" t="s">
        <v>11</v>
      </c>
      <c r="C146" t="s">
        <v>12</v>
      </c>
      <c r="D146" t="s">
        <v>12</v>
      </c>
      <c r="E146">
        <v>0</v>
      </c>
      <c r="F146" t="s">
        <v>34</v>
      </c>
      <c r="G146" t="s">
        <v>29</v>
      </c>
      <c r="H146" t="s">
        <v>57</v>
      </c>
      <c r="I146" t="s">
        <v>31</v>
      </c>
      <c r="J146" t="s">
        <v>38</v>
      </c>
      <c r="K146" t="s">
        <v>92</v>
      </c>
    </row>
    <row r="147" spans="1:11" x14ac:dyDescent="0.2">
      <c r="A147">
        <v>3857</v>
      </c>
      <c r="B147" t="s">
        <v>11</v>
      </c>
      <c r="C147" t="s">
        <v>19</v>
      </c>
      <c r="D147" t="s">
        <v>20</v>
      </c>
      <c r="E147">
        <v>1</v>
      </c>
      <c r="F147" t="s">
        <v>392</v>
      </c>
      <c r="G147" t="s">
        <v>21</v>
      </c>
      <c r="H147" t="s">
        <v>121</v>
      </c>
      <c r="I147" t="s">
        <v>43</v>
      </c>
      <c r="J147" t="s">
        <v>24</v>
      </c>
      <c r="K147" t="s">
        <v>24</v>
      </c>
    </row>
    <row r="148" spans="1:11" x14ac:dyDescent="0.2">
      <c r="A148">
        <v>5178</v>
      </c>
      <c r="B148" t="s">
        <v>11</v>
      </c>
      <c r="C148" t="s">
        <v>19</v>
      </c>
      <c r="D148" t="s">
        <v>12</v>
      </c>
      <c r="E148">
        <v>1</v>
      </c>
      <c r="F148" t="s">
        <v>13</v>
      </c>
      <c r="G148" t="s">
        <v>21</v>
      </c>
      <c r="H148" t="s">
        <v>61</v>
      </c>
      <c r="I148" t="s">
        <v>31</v>
      </c>
      <c r="J148" t="s">
        <v>27</v>
      </c>
      <c r="K148" t="s">
        <v>119</v>
      </c>
    </row>
    <row r="149" spans="1:11" x14ac:dyDescent="0.2">
      <c r="A149">
        <v>1955</v>
      </c>
      <c r="B149" t="s">
        <v>11</v>
      </c>
      <c r="C149" t="s">
        <v>12</v>
      </c>
      <c r="D149" t="s">
        <v>12</v>
      </c>
      <c r="E149">
        <v>0</v>
      </c>
      <c r="F149" t="s">
        <v>13</v>
      </c>
      <c r="G149" t="s">
        <v>14</v>
      </c>
      <c r="H149" t="s">
        <v>81</v>
      </c>
      <c r="I149" t="s">
        <v>31</v>
      </c>
      <c r="J149" t="s">
        <v>38</v>
      </c>
      <c r="K149" t="s">
        <v>97</v>
      </c>
    </row>
    <row r="150" spans="1:11" x14ac:dyDescent="0.2">
      <c r="A150">
        <v>2086</v>
      </c>
      <c r="B150" t="s">
        <v>11</v>
      </c>
      <c r="C150" t="s">
        <v>12</v>
      </c>
      <c r="D150" t="s">
        <v>12</v>
      </c>
      <c r="E150">
        <v>0</v>
      </c>
      <c r="F150" t="s">
        <v>394</v>
      </c>
      <c r="G150" t="s">
        <v>29</v>
      </c>
      <c r="I150" t="s">
        <v>26</v>
      </c>
      <c r="J150" t="s">
        <v>38</v>
      </c>
      <c r="K150" t="s">
        <v>54</v>
      </c>
    </row>
    <row r="151" spans="1:11" x14ac:dyDescent="0.2">
      <c r="A151">
        <v>6382</v>
      </c>
      <c r="B151" t="s">
        <v>11</v>
      </c>
      <c r="C151" t="s">
        <v>12</v>
      </c>
      <c r="D151" t="s">
        <v>12</v>
      </c>
      <c r="E151">
        <v>0</v>
      </c>
      <c r="F151" t="s">
        <v>13</v>
      </c>
      <c r="G151" t="s">
        <v>56</v>
      </c>
      <c r="I151" t="s">
        <v>65</v>
      </c>
      <c r="J151" t="s">
        <v>17</v>
      </c>
      <c r="K151" t="s">
        <v>50</v>
      </c>
    </row>
    <row r="152" spans="1:11" x14ac:dyDescent="0.2">
      <c r="A152">
        <v>3146</v>
      </c>
      <c r="B152" t="s">
        <v>11</v>
      </c>
      <c r="C152" t="s">
        <v>12</v>
      </c>
      <c r="D152" t="s">
        <v>12</v>
      </c>
      <c r="E152">
        <v>0</v>
      </c>
      <c r="F152" t="s">
        <v>394</v>
      </c>
      <c r="G152" t="s">
        <v>14</v>
      </c>
      <c r="I152" t="s">
        <v>37</v>
      </c>
      <c r="J152" t="s">
        <v>24</v>
      </c>
      <c r="K152" t="s">
        <v>98</v>
      </c>
    </row>
    <row r="153" spans="1:11" x14ac:dyDescent="0.2">
      <c r="A153">
        <v>5893</v>
      </c>
      <c r="B153" t="s">
        <v>11</v>
      </c>
      <c r="C153" t="s">
        <v>12</v>
      </c>
      <c r="D153" t="s">
        <v>12</v>
      </c>
      <c r="E153">
        <v>0</v>
      </c>
      <c r="F153" t="s">
        <v>34</v>
      </c>
      <c r="G153" t="s">
        <v>14</v>
      </c>
      <c r="I153" t="s">
        <v>23</v>
      </c>
      <c r="J153" t="s">
        <v>17</v>
      </c>
      <c r="K153" t="s">
        <v>17</v>
      </c>
    </row>
    <row r="154" spans="1:11" x14ac:dyDescent="0.2">
      <c r="A154">
        <v>10177</v>
      </c>
      <c r="B154" t="s">
        <v>11</v>
      </c>
      <c r="C154" t="s">
        <v>12</v>
      </c>
      <c r="D154" t="s">
        <v>12</v>
      </c>
      <c r="E154">
        <v>0</v>
      </c>
      <c r="F154" t="s">
        <v>13</v>
      </c>
      <c r="G154" t="s">
        <v>29</v>
      </c>
      <c r="H154" t="s">
        <v>25</v>
      </c>
      <c r="I154" t="s">
        <v>23</v>
      </c>
      <c r="J154" t="s">
        <v>38</v>
      </c>
      <c r="K154" t="s">
        <v>38</v>
      </c>
    </row>
    <row r="155" spans="1:11" x14ac:dyDescent="0.2">
      <c r="A155">
        <v>6126</v>
      </c>
      <c r="B155" t="s">
        <v>11</v>
      </c>
      <c r="C155" t="s">
        <v>19</v>
      </c>
      <c r="D155" t="s">
        <v>20</v>
      </c>
      <c r="E155">
        <v>1</v>
      </c>
      <c r="F155" t="s">
        <v>392</v>
      </c>
      <c r="G155" t="s">
        <v>21</v>
      </c>
      <c r="H155" t="s">
        <v>49</v>
      </c>
      <c r="I155" t="s">
        <v>16</v>
      </c>
      <c r="J155" t="s">
        <v>24</v>
      </c>
    </row>
    <row r="156" spans="1:11" x14ac:dyDescent="0.2">
      <c r="A156">
        <v>1943</v>
      </c>
      <c r="B156" t="s">
        <v>11</v>
      </c>
      <c r="C156" t="s">
        <v>19</v>
      </c>
      <c r="D156" t="s">
        <v>19</v>
      </c>
      <c r="E156">
        <v>0</v>
      </c>
      <c r="F156" t="s">
        <v>394</v>
      </c>
      <c r="G156" t="s">
        <v>21</v>
      </c>
      <c r="H156" t="s">
        <v>57</v>
      </c>
      <c r="I156" t="s">
        <v>31</v>
      </c>
      <c r="J156" t="s">
        <v>38</v>
      </c>
      <c r="K156" t="s">
        <v>66</v>
      </c>
    </row>
    <row r="157" spans="1:11" x14ac:dyDescent="0.2">
      <c r="A157">
        <v>6413</v>
      </c>
      <c r="B157" t="s">
        <v>11</v>
      </c>
      <c r="C157" t="s">
        <v>12</v>
      </c>
      <c r="D157" t="s">
        <v>12</v>
      </c>
      <c r="E157">
        <v>0</v>
      </c>
      <c r="F157" t="s">
        <v>13</v>
      </c>
      <c r="G157" t="s">
        <v>45</v>
      </c>
      <c r="H157" t="s">
        <v>121</v>
      </c>
      <c r="I157" t="s">
        <v>43</v>
      </c>
      <c r="J157" t="s">
        <v>88</v>
      </c>
      <c r="K157" t="s">
        <v>122</v>
      </c>
    </row>
    <row r="158" spans="1:11" x14ac:dyDescent="0.2">
      <c r="A158">
        <v>9293</v>
      </c>
      <c r="B158" t="s">
        <v>11</v>
      </c>
      <c r="C158" t="s">
        <v>12</v>
      </c>
      <c r="D158" t="s">
        <v>12</v>
      </c>
      <c r="E158">
        <v>0</v>
      </c>
      <c r="F158" t="s">
        <v>13</v>
      </c>
      <c r="G158" t="s">
        <v>21</v>
      </c>
      <c r="H158" t="s">
        <v>57</v>
      </c>
      <c r="I158" t="s">
        <v>31</v>
      </c>
      <c r="J158" t="s">
        <v>17</v>
      </c>
      <c r="K158" t="s">
        <v>18</v>
      </c>
    </row>
    <row r="159" spans="1:11" x14ac:dyDescent="0.2">
      <c r="A159">
        <v>1844</v>
      </c>
      <c r="B159" t="s">
        <v>11</v>
      </c>
      <c r="C159" t="s">
        <v>12</v>
      </c>
      <c r="D159" t="s">
        <v>12</v>
      </c>
      <c r="E159">
        <v>0</v>
      </c>
      <c r="F159" t="s">
        <v>13</v>
      </c>
      <c r="G159" t="s">
        <v>29</v>
      </c>
      <c r="H159" t="s">
        <v>81</v>
      </c>
      <c r="I159" t="s">
        <v>31</v>
      </c>
      <c r="J159" t="s">
        <v>38</v>
      </c>
      <c r="K159" t="s">
        <v>120</v>
      </c>
    </row>
    <row r="160" spans="1:11" x14ac:dyDescent="0.2">
      <c r="A160">
        <v>2483</v>
      </c>
      <c r="B160" t="s">
        <v>11</v>
      </c>
      <c r="C160" t="s">
        <v>19</v>
      </c>
      <c r="D160" t="s">
        <v>12</v>
      </c>
      <c r="E160">
        <v>1</v>
      </c>
      <c r="F160" t="s">
        <v>13</v>
      </c>
      <c r="G160" t="s">
        <v>21</v>
      </c>
      <c r="H160" t="s">
        <v>49</v>
      </c>
      <c r="I160" t="s">
        <v>16</v>
      </c>
      <c r="J160" t="s">
        <v>24</v>
      </c>
      <c r="K160" t="s">
        <v>24</v>
      </c>
    </row>
    <row r="161" spans="1:11" x14ac:dyDescent="0.2">
      <c r="A161">
        <v>6007</v>
      </c>
      <c r="B161" t="s">
        <v>11</v>
      </c>
      <c r="C161" t="s">
        <v>12</v>
      </c>
      <c r="D161" t="s">
        <v>12</v>
      </c>
      <c r="E161">
        <v>0</v>
      </c>
      <c r="F161" t="s">
        <v>13</v>
      </c>
      <c r="G161" t="s">
        <v>29</v>
      </c>
      <c r="I161" t="s">
        <v>31</v>
      </c>
      <c r="J161" t="s">
        <v>24</v>
      </c>
      <c r="K161" t="s">
        <v>36</v>
      </c>
    </row>
    <row r="162" spans="1:11" x14ac:dyDescent="0.2">
      <c r="A162">
        <v>5312</v>
      </c>
      <c r="B162" t="s">
        <v>11</v>
      </c>
      <c r="C162" t="s">
        <v>12</v>
      </c>
      <c r="D162" t="s">
        <v>12</v>
      </c>
      <c r="E162">
        <v>0</v>
      </c>
      <c r="F162" t="s">
        <v>13</v>
      </c>
      <c r="G162" t="s">
        <v>45</v>
      </c>
      <c r="H162" t="s">
        <v>61</v>
      </c>
      <c r="I162" t="s">
        <v>31</v>
      </c>
      <c r="J162" t="s">
        <v>88</v>
      </c>
      <c r="K162" t="s">
        <v>115</v>
      </c>
    </row>
    <row r="163" spans="1:11" x14ac:dyDescent="0.2">
      <c r="A163">
        <v>9456</v>
      </c>
      <c r="B163" t="s">
        <v>11</v>
      </c>
      <c r="C163" t="s">
        <v>12</v>
      </c>
      <c r="D163" t="s">
        <v>12</v>
      </c>
      <c r="E163">
        <v>0</v>
      </c>
      <c r="F163" t="s">
        <v>13</v>
      </c>
      <c r="G163" t="s">
        <v>29</v>
      </c>
      <c r="H163" t="s">
        <v>25</v>
      </c>
      <c r="I163" t="s">
        <v>26</v>
      </c>
      <c r="J163" t="s">
        <v>38</v>
      </c>
      <c r="K163" t="s">
        <v>123</v>
      </c>
    </row>
    <row r="164" spans="1:11" x14ac:dyDescent="0.2">
      <c r="A164">
        <v>9745</v>
      </c>
      <c r="B164" t="s">
        <v>11</v>
      </c>
      <c r="C164" t="s">
        <v>12</v>
      </c>
      <c r="D164" t="s">
        <v>12</v>
      </c>
      <c r="E164">
        <v>0</v>
      </c>
      <c r="F164" t="s">
        <v>13</v>
      </c>
      <c r="G164" t="s">
        <v>14</v>
      </c>
      <c r="H164" t="s">
        <v>25</v>
      </c>
      <c r="I164" t="s">
        <v>26</v>
      </c>
      <c r="J164" t="s">
        <v>38</v>
      </c>
      <c r="K164" t="s">
        <v>124</v>
      </c>
    </row>
    <row r="165" spans="1:11" x14ac:dyDescent="0.2">
      <c r="A165">
        <v>4750</v>
      </c>
      <c r="B165" t="s">
        <v>11</v>
      </c>
      <c r="C165" t="s">
        <v>12</v>
      </c>
      <c r="D165" t="s">
        <v>12</v>
      </c>
      <c r="E165">
        <v>0</v>
      </c>
      <c r="F165" t="s">
        <v>13</v>
      </c>
      <c r="G165" t="s">
        <v>45</v>
      </c>
      <c r="H165" t="s">
        <v>61</v>
      </c>
      <c r="I165" t="s">
        <v>31</v>
      </c>
      <c r="J165" t="s">
        <v>88</v>
      </c>
      <c r="K165" t="s">
        <v>125</v>
      </c>
    </row>
    <row r="166" spans="1:11" x14ac:dyDescent="0.2">
      <c r="A166">
        <v>6522</v>
      </c>
      <c r="B166" t="s">
        <v>11</v>
      </c>
      <c r="C166" t="s">
        <v>12</v>
      </c>
      <c r="D166" t="s">
        <v>12</v>
      </c>
      <c r="E166">
        <v>0</v>
      </c>
      <c r="F166" t="s">
        <v>394</v>
      </c>
      <c r="G166" t="s">
        <v>14</v>
      </c>
      <c r="I166" t="s">
        <v>23</v>
      </c>
      <c r="J166" t="s">
        <v>24</v>
      </c>
      <c r="K166" t="s">
        <v>63</v>
      </c>
    </row>
    <row r="167" spans="1:11" x14ac:dyDescent="0.2">
      <c r="A167">
        <v>2343</v>
      </c>
      <c r="B167" t="s">
        <v>11</v>
      </c>
      <c r="C167" t="s">
        <v>19</v>
      </c>
      <c r="D167" t="s">
        <v>20</v>
      </c>
      <c r="E167">
        <v>1</v>
      </c>
      <c r="F167" t="s">
        <v>392</v>
      </c>
      <c r="G167" t="s">
        <v>21</v>
      </c>
      <c r="I167" t="s">
        <v>23</v>
      </c>
      <c r="J167" t="s">
        <v>24</v>
      </c>
      <c r="K167" t="s">
        <v>24</v>
      </c>
    </row>
    <row r="168" spans="1:11" x14ac:dyDescent="0.2">
      <c r="A168">
        <v>9730</v>
      </c>
      <c r="B168" t="s">
        <v>11</v>
      </c>
      <c r="C168" t="s">
        <v>12</v>
      </c>
      <c r="D168" t="s">
        <v>12</v>
      </c>
      <c r="E168">
        <v>0</v>
      </c>
      <c r="F168" t="s">
        <v>13</v>
      </c>
      <c r="G168" t="s">
        <v>29</v>
      </c>
      <c r="I168" t="s">
        <v>26</v>
      </c>
      <c r="J168" t="s">
        <v>38</v>
      </c>
      <c r="K168" t="s">
        <v>54</v>
      </c>
    </row>
    <row r="169" spans="1:11" x14ac:dyDescent="0.2">
      <c r="A169">
        <v>2000</v>
      </c>
      <c r="B169" t="s">
        <v>11</v>
      </c>
      <c r="C169" t="s">
        <v>19</v>
      </c>
      <c r="D169" t="s">
        <v>20</v>
      </c>
      <c r="E169">
        <v>1</v>
      </c>
      <c r="F169" t="s">
        <v>392</v>
      </c>
      <c r="G169" t="s">
        <v>21</v>
      </c>
      <c r="H169" t="s">
        <v>84</v>
      </c>
      <c r="I169" t="s">
        <v>23</v>
      </c>
      <c r="J169" t="s">
        <v>65</v>
      </c>
    </row>
    <row r="170" spans="1:11" x14ac:dyDescent="0.2">
      <c r="A170">
        <v>3329</v>
      </c>
      <c r="B170" t="s">
        <v>11</v>
      </c>
      <c r="C170" t="s">
        <v>12</v>
      </c>
      <c r="D170" t="s">
        <v>20</v>
      </c>
      <c r="E170">
        <v>1</v>
      </c>
      <c r="F170" t="s">
        <v>392</v>
      </c>
      <c r="G170" t="s">
        <v>21</v>
      </c>
      <c r="H170" t="s">
        <v>73</v>
      </c>
      <c r="I170" t="s">
        <v>26</v>
      </c>
      <c r="J170" t="s">
        <v>24</v>
      </c>
      <c r="K170" t="s">
        <v>66</v>
      </c>
    </row>
    <row r="171" spans="1:11" x14ac:dyDescent="0.2">
      <c r="A171">
        <v>7837</v>
      </c>
      <c r="B171" t="s">
        <v>11</v>
      </c>
      <c r="C171" t="s">
        <v>12</v>
      </c>
      <c r="D171" t="s">
        <v>12</v>
      </c>
      <c r="E171">
        <v>0</v>
      </c>
      <c r="F171" t="s">
        <v>13</v>
      </c>
      <c r="G171" t="s">
        <v>29</v>
      </c>
      <c r="I171" t="s">
        <v>31</v>
      </c>
      <c r="J171" t="s">
        <v>24</v>
      </c>
      <c r="K171" t="s">
        <v>126</v>
      </c>
    </row>
    <row r="172" spans="1:11" x14ac:dyDescent="0.2">
      <c r="A172">
        <v>8919</v>
      </c>
      <c r="B172" t="s">
        <v>11</v>
      </c>
      <c r="C172" t="s">
        <v>19</v>
      </c>
      <c r="D172" t="s">
        <v>20</v>
      </c>
      <c r="E172">
        <v>1</v>
      </c>
      <c r="F172" t="s">
        <v>392</v>
      </c>
      <c r="G172" t="s">
        <v>21</v>
      </c>
      <c r="H172" t="s">
        <v>113</v>
      </c>
      <c r="I172" t="s">
        <v>16</v>
      </c>
      <c r="J172" t="s">
        <v>24</v>
      </c>
      <c r="K172" t="s">
        <v>27</v>
      </c>
    </row>
    <row r="173" spans="1:11" x14ac:dyDescent="0.2">
      <c r="A173">
        <v>10164</v>
      </c>
      <c r="B173" t="s">
        <v>11</v>
      </c>
      <c r="C173" t="s">
        <v>12</v>
      </c>
      <c r="D173" t="s">
        <v>12</v>
      </c>
      <c r="E173">
        <v>0</v>
      </c>
      <c r="F173" t="s">
        <v>13</v>
      </c>
      <c r="G173" t="s">
        <v>29</v>
      </c>
      <c r="H173" t="s">
        <v>25</v>
      </c>
      <c r="I173" t="s">
        <v>26</v>
      </c>
      <c r="J173" t="s">
        <v>27</v>
      </c>
      <c r="K173" t="s">
        <v>27</v>
      </c>
    </row>
    <row r="174" spans="1:11" x14ac:dyDescent="0.2">
      <c r="A174">
        <v>4086</v>
      </c>
      <c r="B174" t="s">
        <v>11</v>
      </c>
      <c r="C174" t="s">
        <v>19</v>
      </c>
      <c r="D174" t="s">
        <v>20</v>
      </c>
      <c r="E174">
        <v>1</v>
      </c>
      <c r="F174" t="s">
        <v>392</v>
      </c>
      <c r="G174" t="s">
        <v>21</v>
      </c>
      <c r="H174" t="s">
        <v>91</v>
      </c>
      <c r="I174" t="s">
        <v>26</v>
      </c>
      <c r="J174" t="s">
        <v>24</v>
      </c>
      <c r="K174" t="s">
        <v>27</v>
      </c>
    </row>
    <row r="175" spans="1:11" x14ac:dyDescent="0.2">
      <c r="A175">
        <v>10166</v>
      </c>
      <c r="B175" t="s">
        <v>11</v>
      </c>
      <c r="C175" t="s">
        <v>12</v>
      </c>
      <c r="D175" t="s">
        <v>12</v>
      </c>
      <c r="E175">
        <v>0</v>
      </c>
      <c r="F175" t="s">
        <v>13</v>
      </c>
      <c r="G175" t="s">
        <v>29</v>
      </c>
      <c r="H175" t="s">
        <v>25</v>
      </c>
      <c r="I175" t="s">
        <v>26</v>
      </c>
      <c r="J175" t="s">
        <v>38</v>
      </c>
      <c r="K175" t="s">
        <v>87</v>
      </c>
    </row>
    <row r="176" spans="1:11" x14ac:dyDescent="0.2">
      <c r="A176">
        <v>10014</v>
      </c>
      <c r="B176" t="s">
        <v>11</v>
      </c>
      <c r="C176" t="s">
        <v>12</v>
      </c>
      <c r="D176" t="s">
        <v>12</v>
      </c>
      <c r="E176">
        <v>0</v>
      </c>
      <c r="F176" t="s">
        <v>13</v>
      </c>
      <c r="G176" t="s">
        <v>29</v>
      </c>
      <c r="H176" t="s">
        <v>25</v>
      </c>
      <c r="I176" t="s">
        <v>26</v>
      </c>
      <c r="J176" t="s">
        <v>38</v>
      </c>
      <c r="K176" t="s">
        <v>66</v>
      </c>
    </row>
    <row r="177" spans="1:11" x14ac:dyDescent="0.2">
      <c r="A177">
        <v>6026</v>
      </c>
      <c r="B177" t="s">
        <v>11</v>
      </c>
      <c r="C177" t="s">
        <v>12</v>
      </c>
      <c r="D177" t="s">
        <v>12</v>
      </c>
      <c r="E177">
        <v>0</v>
      </c>
      <c r="F177" t="s">
        <v>13</v>
      </c>
      <c r="G177" t="s">
        <v>14</v>
      </c>
      <c r="H177" t="s">
        <v>51</v>
      </c>
      <c r="I177" t="s">
        <v>52</v>
      </c>
      <c r="J177" t="s">
        <v>24</v>
      </c>
      <c r="K177" t="s">
        <v>127</v>
      </c>
    </row>
    <row r="178" spans="1:11" x14ac:dyDescent="0.2">
      <c r="A178">
        <v>7788</v>
      </c>
      <c r="B178" t="s">
        <v>11</v>
      </c>
      <c r="C178" t="s">
        <v>12</v>
      </c>
      <c r="D178" t="s">
        <v>12</v>
      </c>
      <c r="E178">
        <v>0</v>
      </c>
      <c r="F178" t="s">
        <v>394</v>
      </c>
      <c r="G178" t="s">
        <v>14</v>
      </c>
      <c r="H178" t="s">
        <v>113</v>
      </c>
      <c r="I178" t="s">
        <v>23</v>
      </c>
      <c r="J178" t="s">
        <v>24</v>
      </c>
      <c r="K178" t="s">
        <v>24</v>
      </c>
    </row>
    <row r="179" spans="1:11" x14ac:dyDescent="0.2">
      <c r="A179">
        <v>273</v>
      </c>
      <c r="B179" t="s">
        <v>11</v>
      </c>
      <c r="C179" t="s">
        <v>19</v>
      </c>
      <c r="D179" t="s">
        <v>19</v>
      </c>
      <c r="E179">
        <v>0</v>
      </c>
      <c r="F179" t="s">
        <v>392</v>
      </c>
      <c r="G179" t="s">
        <v>21</v>
      </c>
      <c r="I179" t="s">
        <v>23</v>
      </c>
      <c r="J179" t="s">
        <v>24</v>
      </c>
      <c r="K179" t="s">
        <v>41</v>
      </c>
    </row>
    <row r="180" spans="1:11" x14ac:dyDescent="0.2">
      <c r="A180">
        <v>3253</v>
      </c>
      <c r="B180" t="s">
        <v>11</v>
      </c>
      <c r="C180" t="s">
        <v>12</v>
      </c>
      <c r="D180" t="s">
        <v>12</v>
      </c>
      <c r="E180">
        <v>0</v>
      </c>
      <c r="F180" t="s">
        <v>13</v>
      </c>
      <c r="G180" t="s">
        <v>29</v>
      </c>
      <c r="I180" t="s">
        <v>37</v>
      </c>
      <c r="J180" t="s">
        <v>24</v>
      </c>
      <c r="K180" t="s">
        <v>63</v>
      </c>
    </row>
    <row r="181" spans="1:11" x14ac:dyDescent="0.2">
      <c r="A181">
        <v>1058</v>
      </c>
      <c r="B181" t="s">
        <v>11</v>
      </c>
      <c r="C181" t="s">
        <v>12</v>
      </c>
      <c r="D181" t="s">
        <v>12</v>
      </c>
      <c r="E181">
        <v>0</v>
      </c>
      <c r="F181" t="s">
        <v>13</v>
      </c>
      <c r="G181" t="s">
        <v>45</v>
      </c>
      <c r="H181" t="s">
        <v>128</v>
      </c>
      <c r="I181" t="s">
        <v>23</v>
      </c>
      <c r="J181" t="s">
        <v>27</v>
      </c>
      <c r="K181" t="s">
        <v>129</v>
      </c>
    </row>
    <row r="182" spans="1:11" x14ac:dyDescent="0.2">
      <c r="A182">
        <v>9561</v>
      </c>
      <c r="B182" t="s">
        <v>11</v>
      </c>
      <c r="C182" t="s">
        <v>19</v>
      </c>
      <c r="D182" t="s">
        <v>19</v>
      </c>
      <c r="E182">
        <v>0</v>
      </c>
      <c r="F182" t="s">
        <v>13</v>
      </c>
      <c r="G182" t="s">
        <v>21</v>
      </c>
      <c r="H182" t="s">
        <v>25</v>
      </c>
      <c r="I182" t="s">
        <v>26</v>
      </c>
      <c r="J182" t="s">
        <v>38</v>
      </c>
      <c r="K182" t="s">
        <v>59</v>
      </c>
    </row>
    <row r="183" spans="1:11" x14ac:dyDescent="0.2">
      <c r="A183">
        <v>2838</v>
      </c>
      <c r="B183" t="s">
        <v>11</v>
      </c>
      <c r="C183" t="s">
        <v>19</v>
      </c>
      <c r="D183" t="s">
        <v>19</v>
      </c>
      <c r="E183">
        <v>0</v>
      </c>
      <c r="F183" t="s">
        <v>392</v>
      </c>
      <c r="G183" t="s">
        <v>21</v>
      </c>
      <c r="H183" t="s">
        <v>58</v>
      </c>
      <c r="I183" t="s">
        <v>52</v>
      </c>
      <c r="J183" t="s">
        <v>24</v>
      </c>
      <c r="K183" t="s">
        <v>62</v>
      </c>
    </row>
    <row r="184" spans="1:11" x14ac:dyDescent="0.2">
      <c r="A184">
        <v>2180</v>
      </c>
      <c r="B184" t="s">
        <v>11</v>
      </c>
      <c r="C184" t="s">
        <v>12</v>
      </c>
      <c r="D184" t="s">
        <v>12</v>
      </c>
      <c r="E184">
        <v>0</v>
      </c>
      <c r="F184" t="s">
        <v>34</v>
      </c>
      <c r="G184" t="s">
        <v>29</v>
      </c>
      <c r="H184" t="s">
        <v>85</v>
      </c>
      <c r="I184" t="s">
        <v>43</v>
      </c>
      <c r="J184" t="s">
        <v>17</v>
      </c>
      <c r="K184" t="s">
        <v>35</v>
      </c>
    </row>
    <row r="185" spans="1:11" x14ac:dyDescent="0.2">
      <c r="A185">
        <v>8397</v>
      </c>
      <c r="B185" t="s">
        <v>11</v>
      </c>
      <c r="C185" t="s">
        <v>12</v>
      </c>
      <c r="D185" t="s">
        <v>12</v>
      </c>
      <c r="E185">
        <v>0</v>
      </c>
      <c r="F185" t="s">
        <v>13</v>
      </c>
      <c r="G185" t="s">
        <v>21</v>
      </c>
      <c r="H185" t="s">
        <v>57</v>
      </c>
      <c r="I185" t="s">
        <v>31</v>
      </c>
      <c r="J185" t="s">
        <v>17</v>
      </c>
      <c r="K185" t="s">
        <v>130</v>
      </c>
    </row>
    <row r="186" spans="1:11" x14ac:dyDescent="0.2">
      <c r="A186">
        <v>4136</v>
      </c>
      <c r="B186" t="s">
        <v>11</v>
      </c>
      <c r="C186" t="s">
        <v>12</v>
      </c>
      <c r="D186" t="s">
        <v>20</v>
      </c>
      <c r="E186">
        <v>1</v>
      </c>
      <c r="F186" t="s">
        <v>392</v>
      </c>
      <c r="G186" t="s">
        <v>21</v>
      </c>
      <c r="H186" t="s">
        <v>49</v>
      </c>
      <c r="I186" t="s">
        <v>16</v>
      </c>
      <c r="J186" t="s">
        <v>24</v>
      </c>
      <c r="K186" t="s">
        <v>40</v>
      </c>
    </row>
    <row r="187" spans="1:11" x14ac:dyDescent="0.2">
      <c r="A187">
        <v>2917</v>
      </c>
      <c r="B187" t="s">
        <v>11</v>
      </c>
      <c r="C187" t="s">
        <v>12</v>
      </c>
      <c r="D187" t="s">
        <v>12</v>
      </c>
      <c r="E187">
        <v>0</v>
      </c>
      <c r="F187" t="s">
        <v>394</v>
      </c>
      <c r="G187" t="s">
        <v>56</v>
      </c>
      <c r="H187" t="s">
        <v>49</v>
      </c>
      <c r="I187" t="s">
        <v>16</v>
      </c>
      <c r="J187" t="s">
        <v>24</v>
      </c>
      <c r="K187" t="s">
        <v>36</v>
      </c>
    </row>
    <row r="188" spans="1:11" x14ac:dyDescent="0.2">
      <c r="A188">
        <v>6737</v>
      </c>
      <c r="B188" t="s">
        <v>11</v>
      </c>
      <c r="C188" t="s">
        <v>12</v>
      </c>
      <c r="D188" t="s">
        <v>12</v>
      </c>
      <c r="E188">
        <v>0</v>
      </c>
      <c r="F188" t="s">
        <v>13</v>
      </c>
      <c r="G188" t="s">
        <v>29</v>
      </c>
      <c r="H188" t="s">
        <v>61</v>
      </c>
      <c r="I188" t="s">
        <v>31</v>
      </c>
      <c r="J188" t="s">
        <v>32</v>
      </c>
      <c r="K188" t="s">
        <v>66</v>
      </c>
    </row>
    <row r="189" spans="1:11" x14ac:dyDescent="0.2">
      <c r="A189">
        <v>9366</v>
      </c>
      <c r="B189" t="s">
        <v>11</v>
      </c>
      <c r="C189" t="s">
        <v>12</v>
      </c>
      <c r="D189" t="s">
        <v>12</v>
      </c>
      <c r="E189">
        <v>0</v>
      </c>
      <c r="F189" t="s">
        <v>13</v>
      </c>
      <c r="G189" t="s">
        <v>29</v>
      </c>
      <c r="H189" t="s">
        <v>25</v>
      </c>
      <c r="I189" t="s">
        <v>26</v>
      </c>
      <c r="J189" t="s">
        <v>38</v>
      </c>
      <c r="K189" t="s">
        <v>54</v>
      </c>
    </row>
    <row r="190" spans="1:11" x14ac:dyDescent="0.2">
      <c r="A190">
        <v>1758</v>
      </c>
      <c r="B190" t="s">
        <v>11</v>
      </c>
      <c r="C190" t="s">
        <v>12</v>
      </c>
      <c r="D190" t="s">
        <v>12</v>
      </c>
      <c r="E190">
        <v>0</v>
      </c>
      <c r="F190" t="s">
        <v>34</v>
      </c>
      <c r="G190" t="s">
        <v>56</v>
      </c>
      <c r="H190" t="s">
        <v>128</v>
      </c>
      <c r="I190" t="s">
        <v>23</v>
      </c>
      <c r="J190" t="s">
        <v>48</v>
      </c>
      <c r="K190" t="s">
        <v>63</v>
      </c>
    </row>
    <row r="191" spans="1:11" x14ac:dyDescent="0.2">
      <c r="A191">
        <v>3675</v>
      </c>
      <c r="B191" t="s">
        <v>11</v>
      </c>
      <c r="C191" t="s">
        <v>12</v>
      </c>
      <c r="D191" t="s">
        <v>12</v>
      </c>
      <c r="E191">
        <v>0</v>
      </c>
      <c r="F191" t="s">
        <v>394</v>
      </c>
      <c r="G191" t="s">
        <v>37</v>
      </c>
      <c r="H191" t="s">
        <v>46</v>
      </c>
      <c r="I191" t="s">
        <v>43</v>
      </c>
      <c r="J191" t="s">
        <v>40</v>
      </c>
      <c r="K191" t="s">
        <v>41</v>
      </c>
    </row>
    <row r="192" spans="1:11" x14ac:dyDescent="0.2">
      <c r="A192">
        <v>8509</v>
      </c>
      <c r="B192" t="s">
        <v>11</v>
      </c>
      <c r="C192" t="s">
        <v>12</v>
      </c>
      <c r="D192" t="s">
        <v>12</v>
      </c>
      <c r="E192">
        <v>0</v>
      </c>
      <c r="F192" t="s">
        <v>13</v>
      </c>
      <c r="G192" t="s">
        <v>21</v>
      </c>
      <c r="H192" t="s">
        <v>57</v>
      </c>
      <c r="I192" t="s">
        <v>31</v>
      </c>
      <c r="J192" t="s">
        <v>17</v>
      </c>
      <c r="K192" t="s">
        <v>18</v>
      </c>
    </row>
    <row r="193" spans="1:11" x14ac:dyDescent="0.2">
      <c r="A193">
        <v>10239</v>
      </c>
      <c r="B193" t="s">
        <v>11</v>
      </c>
      <c r="C193" t="s">
        <v>12</v>
      </c>
      <c r="D193" t="s">
        <v>12</v>
      </c>
      <c r="E193">
        <v>0</v>
      </c>
      <c r="F193" t="s">
        <v>34</v>
      </c>
      <c r="G193" t="s">
        <v>29</v>
      </c>
      <c r="I193" t="s">
        <v>37</v>
      </c>
      <c r="J193" t="s">
        <v>17</v>
      </c>
      <c r="K193" t="s">
        <v>17</v>
      </c>
    </row>
    <row r="194" spans="1:11" x14ac:dyDescent="0.2">
      <c r="A194">
        <v>3159</v>
      </c>
      <c r="B194" t="s">
        <v>11</v>
      </c>
      <c r="C194" t="s">
        <v>19</v>
      </c>
      <c r="D194" t="s">
        <v>12</v>
      </c>
      <c r="E194">
        <v>1</v>
      </c>
      <c r="F194" t="s">
        <v>34</v>
      </c>
      <c r="G194" t="s">
        <v>21</v>
      </c>
      <c r="H194" t="s">
        <v>51</v>
      </c>
      <c r="I194" t="s">
        <v>52</v>
      </c>
      <c r="J194" t="s">
        <v>17</v>
      </c>
      <c r="K194" t="s">
        <v>35</v>
      </c>
    </row>
    <row r="195" spans="1:11" x14ac:dyDescent="0.2">
      <c r="A195">
        <v>3908</v>
      </c>
      <c r="B195" t="s">
        <v>11</v>
      </c>
      <c r="C195" t="s">
        <v>12</v>
      </c>
      <c r="D195" t="s">
        <v>12</v>
      </c>
      <c r="E195">
        <v>0</v>
      </c>
      <c r="F195" t="s">
        <v>13</v>
      </c>
      <c r="G195" t="s">
        <v>29</v>
      </c>
      <c r="H195" t="s">
        <v>49</v>
      </c>
      <c r="I195" t="s">
        <v>16</v>
      </c>
      <c r="J195" t="s">
        <v>55</v>
      </c>
      <c r="K195" t="s">
        <v>131</v>
      </c>
    </row>
    <row r="196" spans="1:11" x14ac:dyDescent="0.2">
      <c r="A196">
        <v>3968</v>
      </c>
      <c r="B196" t="s">
        <v>11</v>
      </c>
      <c r="C196" t="s">
        <v>12</v>
      </c>
      <c r="D196" t="s">
        <v>12</v>
      </c>
      <c r="E196">
        <v>0</v>
      </c>
      <c r="F196" t="s">
        <v>394</v>
      </c>
      <c r="G196" t="s">
        <v>14</v>
      </c>
      <c r="H196" t="s">
        <v>132</v>
      </c>
      <c r="I196" t="s">
        <v>26</v>
      </c>
      <c r="J196" t="s">
        <v>38</v>
      </c>
      <c r="K196" t="s">
        <v>54</v>
      </c>
    </row>
    <row r="197" spans="1:11" x14ac:dyDescent="0.2">
      <c r="A197">
        <v>10136</v>
      </c>
      <c r="B197" t="s">
        <v>11</v>
      </c>
      <c r="C197" t="s">
        <v>12</v>
      </c>
      <c r="D197" t="s">
        <v>12</v>
      </c>
      <c r="E197">
        <v>0</v>
      </c>
      <c r="F197" t="s">
        <v>394</v>
      </c>
      <c r="G197" t="s">
        <v>56</v>
      </c>
      <c r="I197" t="s">
        <v>65</v>
      </c>
      <c r="J197" t="s">
        <v>17</v>
      </c>
      <c r="K197" t="s">
        <v>50</v>
      </c>
    </row>
    <row r="198" spans="1:11" x14ac:dyDescent="0.2">
      <c r="A198">
        <v>2508</v>
      </c>
      <c r="B198" t="s">
        <v>11</v>
      </c>
      <c r="C198" t="s">
        <v>19</v>
      </c>
      <c r="D198" t="s">
        <v>19</v>
      </c>
      <c r="E198">
        <v>0</v>
      </c>
      <c r="F198" t="s">
        <v>394</v>
      </c>
      <c r="G198" t="s">
        <v>21</v>
      </c>
      <c r="H198" t="s">
        <v>57</v>
      </c>
      <c r="I198" t="s">
        <v>31</v>
      </c>
      <c r="J198" t="s">
        <v>38</v>
      </c>
      <c r="K198" t="s">
        <v>54</v>
      </c>
    </row>
    <row r="199" spans="1:11" x14ac:dyDescent="0.2">
      <c r="A199">
        <v>6988</v>
      </c>
      <c r="B199" t="s">
        <v>11</v>
      </c>
      <c r="C199" t="s">
        <v>12</v>
      </c>
      <c r="D199" t="s">
        <v>12</v>
      </c>
      <c r="E199">
        <v>0</v>
      </c>
      <c r="F199" t="s">
        <v>13</v>
      </c>
      <c r="G199" t="s">
        <v>14</v>
      </c>
      <c r="H199" t="s">
        <v>133</v>
      </c>
      <c r="I199" t="s">
        <v>23</v>
      </c>
      <c r="J199" t="s">
        <v>38</v>
      </c>
      <c r="K199" t="s">
        <v>68</v>
      </c>
    </row>
    <row r="200" spans="1:11" x14ac:dyDescent="0.2">
      <c r="A200">
        <v>10151</v>
      </c>
      <c r="B200" t="s">
        <v>11</v>
      </c>
      <c r="C200" t="s">
        <v>12</v>
      </c>
      <c r="D200" t="s">
        <v>12</v>
      </c>
      <c r="E200">
        <v>0</v>
      </c>
      <c r="F200" t="s">
        <v>13</v>
      </c>
      <c r="G200" t="s">
        <v>14</v>
      </c>
      <c r="I200" t="s">
        <v>26</v>
      </c>
      <c r="J200" t="s">
        <v>24</v>
      </c>
      <c r="K200" t="s">
        <v>97</v>
      </c>
    </row>
    <row r="201" spans="1:11" x14ac:dyDescent="0.2">
      <c r="A201">
        <v>6168</v>
      </c>
      <c r="B201" t="s">
        <v>11</v>
      </c>
      <c r="C201" t="s">
        <v>12</v>
      </c>
      <c r="D201" t="s">
        <v>20</v>
      </c>
      <c r="E201">
        <v>1</v>
      </c>
      <c r="F201" t="s">
        <v>392</v>
      </c>
      <c r="G201" t="s">
        <v>21</v>
      </c>
      <c r="I201" t="s">
        <v>23</v>
      </c>
      <c r="J201" t="s">
        <v>24</v>
      </c>
      <c r="K201" t="s">
        <v>24</v>
      </c>
    </row>
    <row r="202" spans="1:11" x14ac:dyDescent="0.2">
      <c r="A202">
        <v>777</v>
      </c>
      <c r="B202" t="s">
        <v>11</v>
      </c>
      <c r="C202" t="s">
        <v>12</v>
      </c>
      <c r="D202" t="s">
        <v>12</v>
      </c>
      <c r="E202">
        <v>0</v>
      </c>
      <c r="F202" t="s">
        <v>13</v>
      </c>
      <c r="G202" t="s">
        <v>14</v>
      </c>
      <c r="H202" t="s">
        <v>51</v>
      </c>
      <c r="I202" t="s">
        <v>52</v>
      </c>
      <c r="J202" t="s">
        <v>38</v>
      </c>
      <c r="K202" t="s">
        <v>90</v>
      </c>
    </row>
    <row r="203" spans="1:11" x14ac:dyDescent="0.2">
      <c r="A203">
        <v>2522</v>
      </c>
      <c r="B203" t="s">
        <v>11</v>
      </c>
      <c r="C203" t="s">
        <v>12</v>
      </c>
      <c r="D203" t="s">
        <v>12</v>
      </c>
      <c r="E203">
        <v>0</v>
      </c>
      <c r="F203" t="s">
        <v>13</v>
      </c>
      <c r="G203" t="s">
        <v>29</v>
      </c>
      <c r="H203" t="s">
        <v>81</v>
      </c>
      <c r="I203" t="s">
        <v>31</v>
      </c>
      <c r="J203" t="s">
        <v>32</v>
      </c>
      <c r="K203" t="s">
        <v>75</v>
      </c>
    </row>
    <row r="204" spans="1:11" x14ac:dyDescent="0.2">
      <c r="A204">
        <v>1485</v>
      </c>
      <c r="B204" t="s">
        <v>11</v>
      </c>
      <c r="C204" t="s">
        <v>12</v>
      </c>
      <c r="D204" t="s">
        <v>12</v>
      </c>
      <c r="E204">
        <v>0</v>
      </c>
      <c r="F204" t="s">
        <v>13</v>
      </c>
      <c r="G204" t="s">
        <v>14</v>
      </c>
      <c r="I204" t="s">
        <v>37</v>
      </c>
      <c r="J204" t="s">
        <v>48</v>
      </c>
      <c r="K204" t="s">
        <v>68</v>
      </c>
    </row>
    <row r="205" spans="1:11" x14ac:dyDescent="0.2">
      <c r="A205">
        <v>9447</v>
      </c>
      <c r="B205" t="s">
        <v>11</v>
      </c>
      <c r="C205" t="s">
        <v>12</v>
      </c>
      <c r="D205" t="s">
        <v>12</v>
      </c>
      <c r="E205">
        <v>0</v>
      </c>
      <c r="F205" t="s">
        <v>13</v>
      </c>
      <c r="G205" t="s">
        <v>29</v>
      </c>
      <c r="H205" t="s">
        <v>25</v>
      </c>
      <c r="I205" t="s">
        <v>23</v>
      </c>
      <c r="J205" t="s">
        <v>38</v>
      </c>
      <c r="K205" t="s">
        <v>80</v>
      </c>
    </row>
    <row r="206" spans="1:11" x14ac:dyDescent="0.2">
      <c r="A206">
        <v>4865</v>
      </c>
      <c r="B206" t="s">
        <v>11</v>
      </c>
      <c r="C206" t="s">
        <v>19</v>
      </c>
      <c r="D206" t="s">
        <v>12</v>
      </c>
      <c r="E206">
        <v>1</v>
      </c>
      <c r="F206" t="s">
        <v>394</v>
      </c>
      <c r="G206" t="s">
        <v>21</v>
      </c>
      <c r="H206" t="s">
        <v>84</v>
      </c>
      <c r="I206" t="s">
        <v>23</v>
      </c>
      <c r="J206" t="s">
        <v>17</v>
      </c>
      <c r="K206" t="s">
        <v>18</v>
      </c>
    </row>
    <row r="207" spans="1:11" x14ac:dyDescent="0.2">
      <c r="A207">
        <v>5800</v>
      </c>
      <c r="B207" t="s">
        <v>11</v>
      </c>
      <c r="C207" t="s">
        <v>19</v>
      </c>
      <c r="D207" t="s">
        <v>19</v>
      </c>
      <c r="E207">
        <v>0</v>
      </c>
      <c r="F207" t="s">
        <v>392</v>
      </c>
      <c r="G207" t="s">
        <v>21</v>
      </c>
      <c r="H207" t="s">
        <v>134</v>
      </c>
      <c r="I207" t="s">
        <v>31</v>
      </c>
      <c r="J207" t="s">
        <v>24</v>
      </c>
      <c r="K207" t="s">
        <v>62</v>
      </c>
    </row>
    <row r="208" spans="1:11" x14ac:dyDescent="0.2">
      <c r="A208">
        <v>5476</v>
      </c>
      <c r="B208" t="s">
        <v>11</v>
      </c>
      <c r="C208" t="s">
        <v>12</v>
      </c>
      <c r="D208" t="s">
        <v>12</v>
      </c>
      <c r="E208">
        <v>0</v>
      </c>
      <c r="F208" t="s">
        <v>394</v>
      </c>
      <c r="G208" t="s">
        <v>14</v>
      </c>
      <c r="I208" t="s">
        <v>23</v>
      </c>
      <c r="J208" t="s">
        <v>48</v>
      </c>
      <c r="K208" t="s">
        <v>68</v>
      </c>
    </row>
    <row r="209" spans="1:11" x14ac:dyDescent="0.2">
      <c r="A209">
        <v>6315</v>
      </c>
      <c r="B209" t="s">
        <v>11</v>
      </c>
      <c r="C209" t="s">
        <v>19</v>
      </c>
      <c r="D209" t="s">
        <v>12</v>
      </c>
      <c r="E209">
        <v>1</v>
      </c>
      <c r="F209" t="s">
        <v>394</v>
      </c>
      <c r="G209" t="s">
        <v>21</v>
      </c>
      <c r="I209" t="s">
        <v>23</v>
      </c>
      <c r="J209" t="s">
        <v>24</v>
      </c>
      <c r="K209" t="s">
        <v>36</v>
      </c>
    </row>
    <row r="210" spans="1:11" x14ac:dyDescent="0.2">
      <c r="A210">
        <v>8159</v>
      </c>
      <c r="B210" t="s">
        <v>11</v>
      </c>
      <c r="C210" t="s">
        <v>12</v>
      </c>
      <c r="D210" t="s">
        <v>12</v>
      </c>
      <c r="E210">
        <v>0</v>
      </c>
      <c r="F210" t="s">
        <v>13</v>
      </c>
      <c r="G210" t="s">
        <v>29</v>
      </c>
      <c r="H210" t="s">
        <v>61</v>
      </c>
      <c r="I210" t="s">
        <v>31</v>
      </c>
      <c r="J210" t="s">
        <v>27</v>
      </c>
      <c r="K210" t="s">
        <v>135</v>
      </c>
    </row>
    <row r="211" spans="1:11" x14ac:dyDescent="0.2">
      <c r="A211">
        <v>1975</v>
      </c>
      <c r="B211" t="s">
        <v>11</v>
      </c>
      <c r="C211" t="s">
        <v>12</v>
      </c>
      <c r="D211" t="s">
        <v>12</v>
      </c>
      <c r="E211">
        <v>0</v>
      </c>
      <c r="F211" t="s">
        <v>13</v>
      </c>
      <c r="G211" t="s">
        <v>29</v>
      </c>
      <c r="H211" t="s">
        <v>67</v>
      </c>
      <c r="I211" t="s">
        <v>43</v>
      </c>
      <c r="J211" t="s">
        <v>55</v>
      </c>
      <c r="K211" t="s">
        <v>120</v>
      </c>
    </row>
    <row r="212" spans="1:11" x14ac:dyDescent="0.2">
      <c r="A212">
        <v>3570</v>
      </c>
      <c r="B212" t="s">
        <v>11</v>
      </c>
      <c r="C212" t="s">
        <v>19</v>
      </c>
      <c r="D212" t="s">
        <v>20</v>
      </c>
      <c r="E212">
        <v>1</v>
      </c>
      <c r="F212" t="s">
        <v>392</v>
      </c>
      <c r="G212" t="s">
        <v>21</v>
      </c>
      <c r="H212" t="s">
        <v>30</v>
      </c>
      <c r="I212" t="s">
        <v>31</v>
      </c>
      <c r="J212" t="s">
        <v>24</v>
      </c>
      <c r="K212" t="s">
        <v>41</v>
      </c>
    </row>
    <row r="213" spans="1:11" x14ac:dyDescent="0.2">
      <c r="A213">
        <v>10182</v>
      </c>
      <c r="B213" t="s">
        <v>11</v>
      </c>
      <c r="C213" t="s">
        <v>12</v>
      </c>
      <c r="D213" t="s">
        <v>12</v>
      </c>
      <c r="E213">
        <v>0</v>
      </c>
      <c r="F213" t="s">
        <v>13</v>
      </c>
      <c r="G213" t="s">
        <v>29</v>
      </c>
      <c r="H213" t="s">
        <v>25</v>
      </c>
      <c r="I213" t="s">
        <v>26</v>
      </c>
      <c r="J213" t="s">
        <v>38</v>
      </c>
      <c r="K213" t="s">
        <v>136</v>
      </c>
    </row>
    <row r="214" spans="1:11" x14ac:dyDescent="0.2">
      <c r="A214">
        <v>3377</v>
      </c>
      <c r="B214" t="s">
        <v>11</v>
      </c>
      <c r="C214" t="s">
        <v>12</v>
      </c>
      <c r="D214" t="s">
        <v>12</v>
      </c>
      <c r="E214">
        <v>0</v>
      </c>
      <c r="F214" t="s">
        <v>13</v>
      </c>
      <c r="G214" t="s">
        <v>14</v>
      </c>
      <c r="H214" t="s">
        <v>51</v>
      </c>
      <c r="I214" t="s">
        <v>52</v>
      </c>
      <c r="J214" t="s">
        <v>24</v>
      </c>
      <c r="K214" t="s">
        <v>137</v>
      </c>
    </row>
    <row r="215" spans="1:11" x14ac:dyDescent="0.2">
      <c r="A215">
        <v>264</v>
      </c>
      <c r="B215" t="s">
        <v>11</v>
      </c>
      <c r="C215" t="s">
        <v>19</v>
      </c>
      <c r="D215" t="s">
        <v>19</v>
      </c>
      <c r="E215">
        <v>0</v>
      </c>
      <c r="F215" t="s">
        <v>394</v>
      </c>
      <c r="G215" t="s">
        <v>21</v>
      </c>
      <c r="H215" t="s">
        <v>133</v>
      </c>
      <c r="I215" t="s">
        <v>23</v>
      </c>
      <c r="J215" t="s">
        <v>38</v>
      </c>
      <c r="K215" t="s">
        <v>138</v>
      </c>
    </row>
    <row r="216" spans="1:11" x14ac:dyDescent="0.2">
      <c r="A216">
        <v>6613</v>
      </c>
      <c r="B216" t="s">
        <v>11</v>
      </c>
      <c r="C216" t="s">
        <v>12</v>
      </c>
      <c r="D216" t="s">
        <v>12</v>
      </c>
      <c r="E216">
        <v>0</v>
      </c>
      <c r="F216" t="s">
        <v>394</v>
      </c>
      <c r="G216" t="s">
        <v>56</v>
      </c>
      <c r="I216" t="s">
        <v>65</v>
      </c>
      <c r="J216" t="s">
        <v>17</v>
      </c>
      <c r="K216" t="s">
        <v>18</v>
      </c>
    </row>
    <row r="217" spans="1:11" x14ac:dyDescent="0.2">
      <c r="A217">
        <v>7995</v>
      </c>
      <c r="B217" t="s">
        <v>11</v>
      </c>
      <c r="C217" t="s">
        <v>19</v>
      </c>
      <c r="D217" t="s">
        <v>20</v>
      </c>
      <c r="E217">
        <v>1</v>
      </c>
      <c r="F217" t="s">
        <v>392</v>
      </c>
      <c r="G217" t="s">
        <v>21</v>
      </c>
      <c r="H217" t="s">
        <v>49</v>
      </c>
      <c r="I217" t="s">
        <v>16</v>
      </c>
      <c r="J217" t="s">
        <v>24</v>
      </c>
      <c r="K217" t="s">
        <v>27</v>
      </c>
    </row>
    <row r="218" spans="1:11" x14ac:dyDescent="0.2">
      <c r="A218">
        <v>6971</v>
      </c>
      <c r="B218" t="s">
        <v>11</v>
      </c>
      <c r="C218" t="s">
        <v>12</v>
      </c>
      <c r="D218" t="s">
        <v>12</v>
      </c>
      <c r="E218">
        <v>0</v>
      </c>
      <c r="F218" t="s">
        <v>13</v>
      </c>
      <c r="G218" t="s">
        <v>45</v>
      </c>
      <c r="H218" t="s">
        <v>113</v>
      </c>
      <c r="I218" t="s">
        <v>16</v>
      </c>
      <c r="J218" t="s">
        <v>32</v>
      </c>
      <c r="K218" t="s">
        <v>69</v>
      </c>
    </row>
    <row r="219" spans="1:11" x14ac:dyDescent="0.2">
      <c r="A219">
        <v>4653</v>
      </c>
      <c r="B219" t="s">
        <v>11</v>
      </c>
      <c r="C219" t="s">
        <v>12</v>
      </c>
      <c r="D219" t="s">
        <v>12</v>
      </c>
      <c r="E219">
        <v>0</v>
      </c>
      <c r="F219" t="s">
        <v>13</v>
      </c>
      <c r="G219" t="s">
        <v>29</v>
      </c>
      <c r="H219" t="s">
        <v>25</v>
      </c>
      <c r="I219" t="s">
        <v>26</v>
      </c>
      <c r="J219" t="s">
        <v>38</v>
      </c>
      <c r="K219" t="s">
        <v>139</v>
      </c>
    </row>
    <row r="220" spans="1:11" x14ac:dyDescent="0.2">
      <c r="A220">
        <v>4335</v>
      </c>
      <c r="B220" t="s">
        <v>11</v>
      </c>
      <c r="C220" t="s">
        <v>12</v>
      </c>
      <c r="D220" t="s">
        <v>12</v>
      </c>
      <c r="E220">
        <v>0</v>
      </c>
      <c r="F220" t="s">
        <v>13</v>
      </c>
      <c r="G220" t="s">
        <v>45</v>
      </c>
      <c r="H220" t="s">
        <v>30</v>
      </c>
      <c r="I220" t="s">
        <v>31</v>
      </c>
      <c r="J220" t="s">
        <v>38</v>
      </c>
      <c r="K220" t="s">
        <v>140</v>
      </c>
    </row>
    <row r="221" spans="1:11" x14ac:dyDescent="0.2">
      <c r="A221">
        <v>1915</v>
      </c>
      <c r="B221" t="s">
        <v>11</v>
      </c>
      <c r="C221" t="s">
        <v>12</v>
      </c>
      <c r="D221" t="s">
        <v>12</v>
      </c>
      <c r="E221">
        <v>0</v>
      </c>
      <c r="F221" t="s">
        <v>13</v>
      </c>
      <c r="G221" t="s">
        <v>14</v>
      </c>
      <c r="H221" t="s">
        <v>81</v>
      </c>
      <c r="I221" t="s">
        <v>31</v>
      </c>
      <c r="J221" t="s">
        <v>24</v>
      </c>
      <c r="K221" t="s">
        <v>103</v>
      </c>
    </row>
    <row r="222" spans="1:11" x14ac:dyDescent="0.2">
      <c r="A222">
        <v>8852</v>
      </c>
      <c r="B222" t="s">
        <v>11</v>
      </c>
      <c r="C222" t="s">
        <v>12</v>
      </c>
      <c r="D222" t="s">
        <v>12</v>
      </c>
      <c r="E222">
        <v>0</v>
      </c>
      <c r="F222" t="s">
        <v>13</v>
      </c>
      <c r="G222" t="s">
        <v>29</v>
      </c>
      <c r="H222" t="s">
        <v>57</v>
      </c>
      <c r="I222" t="s">
        <v>31</v>
      </c>
      <c r="J222" t="s">
        <v>17</v>
      </c>
      <c r="K222" t="s">
        <v>17</v>
      </c>
    </row>
    <row r="223" spans="1:11" x14ac:dyDescent="0.2">
      <c r="A223">
        <v>3273</v>
      </c>
      <c r="B223" t="s">
        <v>11</v>
      </c>
      <c r="C223" t="s">
        <v>12</v>
      </c>
      <c r="D223" t="s">
        <v>12</v>
      </c>
      <c r="E223">
        <v>0</v>
      </c>
      <c r="F223" t="s">
        <v>34</v>
      </c>
      <c r="G223" t="s">
        <v>29</v>
      </c>
      <c r="H223" t="s">
        <v>51</v>
      </c>
      <c r="I223" t="s">
        <v>52</v>
      </c>
      <c r="J223" t="s">
        <v>17</v>
      </c>
      <c r="K223" t="s">
        <v>17</v>
      </c>
    </row>
    <row r="224" spans="1:11" x14ac:dyDescent="0.2">
      <c r="A224">
        <v>5296</v>
      </c>
      <c r="B224" t="s">
        <v>11</v>
      </c>
      <c r="C224" t="s">
        <v>12</v>
      </c>
      <c r="D224" t="s">
        <v>12</v>
      </c>
      <c r="E224">
        <v>0</v>
      </c>
      <c r="F224" t="s">
        <v>13</v>
      </c>
      <c r="G224" t="s">
        <v>29</v>
      </c>
      <c r="H224" t="s">
        <v>61</v>
      </c>
      <c r="I224" t="s">
        <v>31</v>
      </c>
      <c r="J224" t="s">
        <v>32</v>
      </c>
      <c r="K224" t="s">
        <v>141</v>
      </c>
    </row>
    <row r="225" spans="1:11" x14ac:dyDescent="0.2">
      <c r="A225">
        <v>4746</v>
      </c>
      <c r="B225" t="s">
        <v>11</v>
      </c>
      <c r="C225" t="s">
        <v>12</v>
      </c>
      <c r="D225" t="s">
        <v>12</v>
      </c>
      <c r="E225">
        <v>0</v>
      </c>
      <c r="F225" t="s">
        <v>34</v>
      </c>
      <c r="G225" t="s">
        <v>56</v>
      </c>
      <c r="H225" t="s">
        <v>46</v>
      </c>
      <c r="I225" t="s">
        <v>23</v>
      </c>
      <c r="J225" t="s">
        <v>17</v>
      </c>
      <c r="K225" t="s">
        <v>17</v>
      </c>
    </row>
    <row r="226" spans="1:11" x14ac:dyDescent="0.2">
      <c r="A226">
        <v>5403</v>
      </c>
      <c r="B226" t="s">
        <v>11</v>
      </c>
      <c r="C226" t="s">
        <v>19</v>
      </c>
      <c r="D226" t="s">
        <v>19</v>
      </c>
      <c r="E226">
        <v>0</v>
      </c>
      <c r="F226" t="s">
        <v>34</v>
      </c>
      <c r="G226" t="s">
        <v>21</v>
      </c>
      <c r="H226" t="s">
        <v>58</v>
      </c>
      <c r="I226" t="s">
        <v>52</v>
      </c>
      <c r="J226" t="s">
        <v>65</v>
      </c>
      <c r="K226" t="s">
        <v>65</v>
      </c>
    </row>
    <row r="227" spans="1:11" x14ac:dyDescent="0.2">
      <c r="A227">
        <v>9506</v>
      </c>
      <c r="B227" t="s">
        <v>11</v>
      </c>
      <c r="C227" t="s">
        <v>12</v>
      </c>
      <c r="D227" t="s">
        <v>12</v>
      </c>
      <c r="E227">
        <v>0</v>
      </c>
      <c r="F227" t="s">
        <v>13</v>
      </c>
      <c r="G227" t="s">
        <v>14</v>
      </c>
      <c r="H227" t="s">
        <v>89</v>
      </c>
      <c r="I227" t="s">
        <v>31</v>
      </c>
      <c r="J227" t="s">
        <v>55</v>
      </c>
      <c r="K227" t="s">
        <v>142</v>
      </c>
    </row>
    <row r="228" spans="1:11" x14ac:dyDescent="0.2">
      <c r="A228">
        <v>2335</v>
      </c>
      <c r="B228" t="s">
        <v>11</v>
      </c>
      <c r="C228" t="s">
        <v>12</v>
      </c>
      <c r="D228" t="s">
        <v>12</v>
      </c>
      <c r="E228">
        <v>0</v>
      </c>
      <c r="F228" t="s">
        <v>394</v>
      </c>
      <c r="G228" t="s">
        <v>21</v>
      </c>
      <c r="H228" t="s">
        <v>61</v>
      </c>
      <c r="I228" t="s">
        <v>31</v>
      </c>
      <c r="J228" t="s">
        <v>88</v>
      </c>
      <c r="K228" t="s">
        <v>117</v>
      </c>
    </row>
    <row r="229" spans="1:11" x14ac:dyDescent="0.2">
      <c r="A229">
        <v>10168</v>
      </c>
      <c r="B229" t="s">
        <v>11</v>
      </c>
      <c r="C229" t="s">
        <v>12</v>
      </c>
      <c r="D229" t="s">
        <v>12</v>
      </c>
      <c r="E229">
        <v>0</v>
      </c>
      <c r="F229" t="s">
        <v>13</v>
      </c>
      <c r="G229" t="s">
        <v>29</v>
      </c>
      <c r="H229" t="s">
        <v>25</v>
      </c>
      <c r="I229" t="s">
        <v>26</v>
      </c>
      <c r="J229" t="s">
        <v>38</v>
      </c>
      <c r="K229" t="s">
        <v>38</v>
      </c>
    </row>
    <row r="230" spans="1:11" x14ac:dyDescent="0.2">
      <c r="A230">
        <v>6291</v>
      </c>
      <c r="B230" t="s">
        <v>11</v>
      </c>
      <c r="C230" t="s">
        <v>12</v>
      </c>
      <c r="D230" t="s">
        <v>12</v>
      </c>
      <c r="E230">
        <v>0</v>
      </c>
      <c r="F230" t="s">
        <v>34</v>
      </c>
      <c r="G230" t="s">
        <v>14</v>
      </c>
      <c r="I230" t="s">
        <v>23</v>
      </c>
      <c r="J230" t="s">
        <v>48</v>
      </c>
      <c r="K230" t="s">
        <v>68</v>
      </c>
    </row>
    <row r="231" spans="1:11" x14ac:dyDescent="0.2">
      <c r="A231">
        <v>2197</v>
      </c>
      <c r="B231" t="s">
        <v>11</v>
      </c>
      <c r="C231" t="s">
        <v>19</v>
      </c>
      <c r="D231" t="s">
        <v>20</v>
      </c>
      <c r="E231">
        <v>1</v>
      </c>
      <c r="F231" t="s">
        <v>392</v>
      </c>
      <c r="G231" t="s">
        <v>21</v>
      </c>
      <c r="I231" t="s">
        <v>65</v>
      </c>
      <c r="J231" t="s">
        <v>24</v>
      </c>
      <c r="K231" t="s">
        <v>24</v>
      </c>
    </row>
    <row r="232" spans="1:11" x14ac:dyDescent="0.2">
      <c r="A232">
        <v>9768</v>
      </c>
      <c r="B232" t="s">
        <v>11</v>
      </c>
      <c r="C232" t="s">
        <v>12</v>
      </c>
      <c r="D232" t="s">
        <v>12</v>
      </c>
      <c r="E232">
        <v>0</v>
      </c>
      <c r="F232" t="s">
        <v>13</v>
      </c>
      <c r="G232" t="s">
        <v>29</v>
      </c>
      <c r="H232" t="s">
        <v>25</v>
      </c>
      <c r="I232" t="s">
        <v>26</v>
      </c>
      <c r="J232" t="s">
        <v>38</v>
      </c>
      <c r="K232" t="s">
        <v>54</v>
      </c>
    </row>
    <row r="233" spans="1:11" x14ac:dyDescent="0.2">
      <c r="A233">
        <v>3522</v>
      </c>
      <c r="B233" t="s">
        <v>11</v>
      </c>
      <c r="C233" t="s">
        <v>12</v>
      </c>
      <c r="D233" t="s">
        <v>12</v>
      </c>
      <c r="E233">
        <v>0</v>
      </c>
      <c r="F233" t="s">
        <v>13</v>
      </c>
      <c r="G233" t="s">
        <v>29</v>
      </c>
      <c r="H233" t="s">
        <v>30</v>
      </c>
      <c r="I233" t="s">
        <v>31</v>
      </c>
      <c r="J233" t="s">
        <v>38</v>
      </c>
      <c r="K233" t="s">
        <v>54</v>
      </c>
    </row>
    <row r="234" spans="1:11" x14ac:dyDescent="0.2">
      <c r="A234">
        <v>9444</v>
      </c>
      <c r="B234" t="s">
        <v>11</v>
      </c>
      <c r="C234" t="s">
        <v>12</v>
      </c>
      <c r="D234" t="s">
        <v>12</v>
      </c>
      <c r="E234">
        <v>0</v>
      </c>
      <c r="F234" t="s">
        <v>13</v>
      </c>
      <c r="G234" t="s">
        <v>29</v>
      </c>
      <c r="H234" t="s">
        <v>25</v>
      </c>
      <c r="I234" t="s">
        <v>26</v>
      </c>
      <c r="J234" t="s">
        <v>38</v>
      </c>
      <c r="K234" t="s">
        <v>143</v>
      </c>
    </row>
    <row r="235" spans="1:11" x14ac:dyDescent="0.2">
      <c r="A235">
        <v>1170</v>
      </c>
      <c r="B235" t="s">
        <v>11</v>
      </c>
      <c r="C235" t="s">
        <v>19</v>
      </c>
      <c r="D235" t="s">
        <v>20</v>
      </c>
      <c r="E235">
        <v>1</v>
      </c>
      <c r="F235" t="s">
        <v>392</v>
      </c>
      <c r="G235" t="s">
        <v>21</v>
      </c>
      <c r="H235" t="s">
        <v>82</v>
      </c>
      <c r="I235" t="s">
        <v>23</v>
      </c>
      <c r="J235" t="s">
        <v>24</v>
      </c>
      <c r="K235" t="s">
        <v>24</v>
      </c>
    </row>
    <row r="236" spans="1:11" x14ac:dyDescent="0.2">
      <c r="A236">
        <v>5333</v>
      </c>
      <c r="B236" t="s">
        <v>11</v>
      </c>
      <c r="C236" t="s">
        <v>12</v>
      </c>
      <c r="D236" t="s">
        <v>12</v>
      </c>
      <c r="E236">
        <v>0</v>
      </c>
      <c r="F236" t="s">
        <v>34</v>
      </c>
      <c r="G236" t="s">
        <v>56</v>
      </c>
      <c r="H236" t="s">
        <v>144</v>
      </c>
      <c r="I236" t="s">
        <v>43</v>
      </c>
      <c r="J236" t="s">
        <v>17</v>
      </c>
      <c r="K236" t="s">
        <v>17</v>
      </c>
    </row>
    <row r="237" spans="1:11" x14ac:dyDescent="0.2">
      <c r="A237">
        <v>6955</v>
      </c>
      <c r="B237" t="s">
        <v>11</v>
      </c>
      <c r="C237" t="s">
        <v>12</v>
      </c>
      <c r="D237" t="s">
        <v>12</v>
      </c>
      <c r="E237">
        <v>0</v>
      </c>
      <c r="F237" t="s">
        <v>13</v>
      </c>
      <c r="G237" t="s">
        <v>14</v>
      </c>
      <c r="I237" t="s">
        <v>31</v>
      </c>
      <c r="J237" t="s">
        <v>24</v>
      </c>
      <c r="K237" t="s">
        <v>24</v>
      </c>
    </row>
    <row r="238" spans="1:11" x14ac:dyDescent="0.2">
      <c r="A238">
        <v>9452</v>
      </c>
      <c r="B238" t="s">
        <v>11</v>
      </c>
      <c r="C238" t="s">
        <v>12</v>
      </c>
      <c r="D238" t="s">
        <v>12</v>
      </c>
      <c r="E238">
        <v>0</v>
      </c>
      <c r="F238" t="s">
        <v>13</v>
      </c>
      <c r="G238" t="s">
        <v>29</v>
      </c>
      <c r="H238" t="s">
        <v>25</v>
      </c>
      <c r="I238" t="s">
        <v>26</v>
      </c>
      <c r="J238" t="s">
        <v>38</v>
      </c>
      <c r="K238" t="s">
        <v>70</v>
      </c>
    </row>
    <row r="239" spans="1:11" x14ac:dyDescent="0.2">
      <c r="A239">
        <v>5315</v>
      </c>
      <c r="B239" t="s">
        <v>11</v>
      </c>
      <c r="C239" t="s">
        <v>12</v>
      </c>
      <c r="D239" t="s">
        <v>12</v>
      </c>
      <c r="E239">
        <v>0</v>
      </c>
      <c r="F239" t="s">
        <v>13</v>
      </c>
      <c r="G239" t="s">
        <v>29</v>
      </c>
      <c r="H239" t="s">
        <v>61</v>
      </c>
      <c r="I239" t="s">
        <v>31</v>
      </c>
      <c r="J239" t="s">
        <v>32</v>
      </c>
      <c r="K239" t="s">
        <v>145</v>
      </c>
    </row>
    <row r="240" spans="1:11" x14ac:dyDescent="0.2">
      <c r="A240">
        <v>987</v>
      </c>
      <c r="B240" t="s">
        <v>11</v>
      </c>
      <c r="C240" t="s">
        <v>19</v>
      </c>
      <c r="D240" t="s">
        <v>19</v>
      </c>
      <c r="E240">
        <v>0</v>
      </c>
      <c r="F240" t="s">
        <v>394</v>
      </c>
      <c r="G240" t="s">
        <v>21</v>
      </c>
      <c r="I240" t="s">
        <v>52</v>
      </c>
      <c r="J240" t="s">
        <v>38</v>
      </c>
      <c r="K240" t="s">
        <v>54</v>
      </c>
    </row>
    <row r="241" spans="1:11" x14ac:dyDescent="0.2">
      <c r="A241">
        <v>2967</v>
      </c>
      <c r="B241" t="s">
        <v>11</v>
      </c>
      <c r="C241" t="s">
        <v>19</v>
      </c>
      <c r="D241" t="s">
        <v>20</v>
      </c>
      <c r="E241">
        <v>1</v>
      </c>
      <c r="F241" t="s">
        <v>392</v>
      </c>
      <c r="G241" t="s">
        <v>21</v>
      </c>
      <c r="H241" t="s">
        <v>146</v>
      </c>
      <c r="I241" t="s">
        <v>52</v>
      </c>
      <c r="J241" t="s">
        <v>24</v>
      </c>
      <c r="K24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1"/>
  <sheetViews>
    <sheetView workbookViewId="0">
      <selection sqref="A1:L1048576"/>
    </sheetView>
  </sheetViews>
  <sheetFormatPr baseColWidth="10" defaultColWidth="8.83203125" defaultRowHeight="15" x14ac:dyDescent="0.2"/>
  <cols>
    <col min="1" max="12" width="45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5699</v>
      </c>
      <c r="B2" t="s">
        <v>147</v>
      </c>
      <c r="C2" t="s">
        <v>12</v>
      </c>
      <c r="D2" t="s">
        <v>12</v>
      </c>
      <c r="E2">
        <v>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148</v>
      </c>
    </row>
    <row r="3" spans="1:11" x14ac:dyDescent="0.2">
      <c r="A3">
        <v>4699</v>
      </c>
      <c r="B3" t="s">
        <v>147</v>
      </c>
      <c r="C3" t="s">
        <v>19</v>
      </c>
      <c r="D3" t="s">
        <v>20</v>
      </c>
      <c r="E3">
        <v>1</v>
      </c>
      <c r="F3" t="s">
        <v>392</v>
      </c>
      <c r="G3" t="s">
        <v>21</v>
      </c>
      <c r="H3" t="s">
        <v>22</v>
      </c>
      <c r="I3" t="s">
        <v>23</v>
      </c>
      <c r="J3" t="s">
        <v>24</v>
      </c>
      <c r="K3" t="s">
        <v>65</v>
      </c>
    </row>
    <row r="4" spans="1:11" x14ac:dyDescent="0.2">
      <c r="A4">
        <v>9753</v>
      </c>
      <c r="B4" t="s">
        <v>147</v>
      </c>
      <c r="C4" t="s">
        <v>19</v>
      </c>
      <c r="D4" t="s">
        <v>19</v>
      </c>
      <c r="E4">
        <v>0</v>
      </c>
      <c r="F4" t="s">
        <v>394</v>
      </c>
      <c r="G4" t="s">
        <v>21</v>
      </c>
      <c r="H4" t="s">
        <v>25</v>
      </c>
      <c r="I4" t="s">
        <v>37</v>
      </c>
      <c r="J4" t="s">
        <v>32</v>
      </c>
      <c r="K4" t="s">
        <v>149</v>
      </c>
    </row>
    <row r="5" spans="1:11" x14ac:dyDescent="0.2">
      <c r="A5">
        <v>3658</v>
      </c>
      <c r="B5" t="s">
        <v>147</v>
      </c>
      <c r="C5" t="s">
        <v>12</v>
      </c>
      <c r="D5" t="s">
        <v>12</v>
      </c>
      <c r="E5">
        <v>0</v>
      </c>
      <c r="F5" t="s">
        <v>392</v>
      </c>
      <c r="G5" t="s">
        <v>29</v>
      </c>
      <c r="I5" t="s">
        <v>31</v>
      </c>
      <c r="J5" t="s">
        <v>32</v>
      </c>
      <c r="K5" t="s">
        <v>150</v>
      </c>
    </row>
    <row r="6" spans="1:11" x14ac:dyDescent="0.2">
      <c r="A6">
        <v>7316</v>
      </c>
      <c r="B6" t="s">
        <v>147</v>
      </c>
      <c r="C6" t="s">
        <v>12</v>
      </c>
      <c r="D6" t="s">
        <v>12</v>
      </c>
      <c r="E6">
        <v>0</v>
      </c>
      <c r="F6" t="s">
        <v>13</v>
      </c>
      <c r="G6" t="s">
        <v>37</v>
      </c>
      <c r="I6" t="s">
        <v>37</v>
      </c>
      <c r="J6" t="s">
        <v>24</v>
      </c>
      <c r="K6" t="s">
        <v>24</v>
      </c>
    </row>
    <row r="7" spans="1:11" x14ac:dyDescent="0.2">
      <c r="A7">
        <v>3504</v>
      </c>
      <c r="B7" t="s">
        <v>147</v>
      </c>
      <c r="C7" t="s">
        <v>12</v>
      </c>
      <c r="D7" t="s">
        <v>20</v>
      </c>
      <c r="E7">
        <v>1</v>
      </c>
      <c r="F7" t="s">
        <v>392</v>
      </c>
      <c r="G7" t="s">
        <v>14</v>
      </c>
      <c r="I7" t="s">
        <v>31</v>
      </c>
      <c r="J7" t="s">
        <v>24</v>
      </c>
      <c r="K7" t="s">
        <v>151</v>
      </c>
    </row>
    <row r="8" spans="1:11" x14ac:dyDescent="0.2">
      <c r="A8">
        <v>2910</v>
      </c>
      <c r="B8" t="s">
        <v>147</v>
      </c>
      <c r="C8" t="s">
        <v>12</v>
      </c>
      <c r="D8" t="s">
        <v>20</v>
      </c>
      <c r="E8">
        <v>1</v>
      </c>
      <c r="F8" t="s">
        <v>392</v>
      </c>
      <c r="G8" t="s">
        <v>56</v>
      </c>
      <c r="I8" t="s">
        <v>37</v>
      </c>
      <c r="J8" t="s">
        <v>24</v>
      </c>
      <c r="K8" t="s">
        <v>152</v>
      </c>
    </row>
    <row r="9" spans="1:11" x14ac:dyDescent="0.2">
      <c r="A9">
        <v>3227</v>
      </c>
      <c r="B9" t="s">
        <v>147</v>
      </c>
      <c r="C9" t="s">
        <v>12</v>
      </c>
      <c r="D9" t="s">
        <v>12</v>
      </c>
      <c r="E9">
        <v>0</v>
      </c>
      <c r="F9" t="s">
        <v>394</v>
      </c>
      <c r="G9" t="s">
        <v>29</v>
      </c>
      <c r="I9" t="s">
        <v>37</v>
      </c>
      <c r="J9" t="s">
        <v>38</v>
      </c>
      <c r="K9" t="s">
        <v>97</v>
      </c>
    </row>
    <row r="10" spans="1:11" x14ac:dyDescent="0.2">
      <c r="A10">
        <v>5810</v>
      </c>
      <c r="B10" t="s">
        <v>147</v>
      </c>
      <c r="C10" t="s">
        <v>12</v>
      </c>
      <c r="D10" t="s">
        <v>12</v>
      </c>
      <c r="E10">
        <v>0</v>
      </c>
      <c r="F10" t="s">
        <v>394</v>
      </c>
      <c r="G10" t="s">
        <v>14</v>
      </c>
      <c r="H10" t="s">
        <v>39</v>
      </c>
      <c r="I10" t="s">
        <v>23</v>
      </c>
      <c r="J10" t="s">
        <v>40</v>
      </c>
      <c r="K10" t="s">
        <v>103</v>
      </c>
    </row>
    <row r="11" spans="1:11" x14ac:dyDescent="0.2">
      <c r="A11">
        <v>6468</v>
      </c>
      <c r="B11" t="s">
        <v>147</v>
      </c>
      <c r="C11" t="s">
        <v>19</v>
      </c>
      <c r="D11" t="s">
        <v>20</v>
      </c>
      <c r="E11">
        <v>1</v>
      </c>
      <c r="F11" t="s">
        <v>392</v>
      </c>
      <c r="G11" t="s">
        <v>21</v>
      </c>
      <c r="H11" t="s">
        <v>153</v>
      </c>
      <c r="I11" t="s">
        <v>43</v>
      </c>
      <c r="J11" t="s">
        <v>24</v>
      </c>
      <c r="K11" t="s">
        <v>41</v>
      </c>
    </row>
    <row r="12" spans="1:11" x14ac:dyDescent="0.2">
      <c r="A12">
        <v>10180</v>
      </c>
      <c r="B12" t="s">
        <v>147</v>
      </c>
      <c r="C12" t="s">
        <v>12</v>
      </c>
      <c r="D12" t="s">
        <v>12</v>
      </c>
      <c r="E12">
        <v>0</v>
      </c>
      <c r="F12" t="s">
        <v>13</v>
      </c>
      <c r="G12" t="s">
        <v>29</v>
      </c>
      <c r="I12" t="s">
        <v>23</v>
      </c>
      <c r="J12" t="s">
        <v>48</v>
      </c>
      <c r="K12" t="s">
        <v>154</v>
      </c>
    </row>
    <row r="13" spans="1:11" x14ac:dyDescent="0.2">
      <c r="A13">
        <v>7264</v>
      </c>
      <c r="B13" t="s">
        <v>147</v>
      </c>
      <c r="C13" t="s">
        <v>12</v>
      </c>
      <c r="D13" t="s">
        <v>12</v>
      </c>
      <c r="E13">
        <v>0</v>
      </c>
      <c r="F13" t="s">
        <v>394</v>
      </c>
      <c r="G13" t="s">
        <v>37</v>
      </c>
      <c r="H13" t="s">
        <v>46</v>
      </c>
      <c r="I13" t="s">
        <v>52</v>
      </c>
      <c r="J13" t="s">
        <v>40</v>
      </c>
      <c r="K13" t="s">
        <v>155</v>
      </c>
    </row>
    <row r="14" spans="1:11" x14ac:dyDescent="0.2">
      <c r="A14">
        <v>9707</v>
      </c>
      <c r="B14" t="s">
        <v>147</v>
      </c>
      <c r="C14" t="s">
        <v>12</v>
      </c>
      <c r="D14" t="s">
        <v>12</v>
      </c>
      <c r="E14">
        <v>0</v>
      </c>
      <c r="F14" t="s">
        <v>34</v>
      </c>
      <c r="G14" t="s">
        <v>21</v>
      </c>
      <c r="H14" t="s">
        <v>46</v>
      </c>
      <c r="I14" t="s">
        <v>52</v>
      </c>
      <c r="J14" t="s">
        <v>17</v>
      </c>
      <c r="K14" t="s">
        <v>156</v>
      </c>
    </row>
    <row r="15" spans="1:11" x14ac:dyDescent="0.2">
      <c r="A15">
        <v>4866</v>
      </c>
      <c r="B15" t="s">
        <v>147</v>
      </c>
      <c r="C15" t="s">
        <v>12</v>
      </c>
      <c r="D15" t="s">
        <v>20</v>
      </c>
      <c r="E15">
        <v>1</v>
      </c>
      <c r="F15" t="s">
        <v>392</v>
      </c>
      <c r="G15" t="s">
        <v>21</v>
      </c>
      <c r="H15" t="s">
        <v>157</v>
      </c>
      <c r="I15" t="s">
        <v>37</v>
      </c>
      <c r="J15" t="s">
        <v>24</v>
      </c>
      <c r="K15" t="s">
        <v>18</v>
      </c>
    </row>
    <row r="16" spans="1:11" x14ac:dyDescent="0.2">
      <c r="A16">
        <v>3280</v>
      </c>
      <c r="B16" t="s">
        <v>147</v>
      </c>
      <c r="C16" t="s">
        <v>12</v>
      </c>
      <c r="D16" t="s">
        <v>12</v>
      </c>
      <c r="E16">
        <v>0</v>
      </c>
      <c r="F16" t="s">
        <v>34</v>
      </c>
      <c r="G16" t="s">
        <v>29</v>
      </c>
      <c r="H16" t="s">
        <v>51</v>
      </c>
      <c r="I16" t="s">
        <v>52</v>
      </c>
      <c r="J16" t="s">
        <v>17</v>
      </c>
      <c r="K16" t="s">
        <v>158</v>
      </c>
    </row>
    <row r="17" spans="1:11" x14ac:dyDescent="0.2">
      <c r="A17">
        <v>2307</v>
      </c>
      <c r="B17" t="s">
        <v>147</v>
      </c>
      <c r="C17" t="s">
        <v>12</v>
      </c>
      <c r="D17" t="s">
        <v>12</v>
      </c>
      <c r="E17">
        <v>0</v>
      </c>
      <c r="F17" t="s">
        <v>394</v>
      </c>
      <c r="G17" t="s">
        <v>14</v>
      </c>
      <c r="H17" t="s">
        <v>49</v>
      </c>
      <c r="I17" t="s">
        <v>37</v>
      </c>
      <c r="J17" t="s">
        <v>32</v>
      </c>
      <c r="K17" t="s">
        <v>159</v>
      </c>
    </row>
    <row r="18" spans="1:11" x14ac:dyDescent="0.2">
      <c r="A18">
        <v>5174</v>
      </c>
      <c r="B18" t="s">
        <v>147</v>
      </c>
      <c r="C18" t="s">
        <v>12</v>
      </c>
      <c r="D18" t="s">
        <v>12</v>
      </c>
      <c r="E18">
        <v>0</v>
      </c>
      <c r="F18" t="s">
        <v>13</v>
      </c>
      <c r="G18" t="s">
        <v>29</v>
      </c>
      <c r="I18" t="s">
        <v>31</v>
      </c>
      <c r="J18" t="s">
        <v>38</v>
      </c>
      <c r="K18" t="s">
        <v>154</v>
      </c>
    </row>
    <row r="19" spans="1:11" x14ac:dyDescent="0.2">
      <c r="A19">
        <v>5807</v>
      </c>
      <c r="B19" t="s">
        <v>147</v>
      </c>
      <c r="C19" t="s">
        <v>12</v>
      </c>
      <c r="D19" t="s">
        <v>12</v>
      </c>
      <c r="E19">
        <v>0</v>
      </c>
      <c r="F19" t="s">
        <v>394</v>
      </c>
      <c r="G19" t="s">
        <v>37</v>
      </c>
      <c r="H19" t="s">
        <v>30</v>
      </c>
      <c r="I19" t="s">
        <v>31</v>
      </c>
      <c r="J19" t="s">
        <v>55</v>
      </c>
      <c r="K19" t="s">
        <v>24</v>
      </c>
    </row>
    <row r="20" spans="1:11" x14ac:dyDescent="0.2">
      <c r="A20">
        <v>5844</v>
      </c>
      <c r="B20" t="s">
        <v>147</v>
      </c>
      <c r="C20" t="s">
        <v>12</v>
      </c>
      <c r="D20" t="s">
        <v>20</v>
      </c>
      <c r="E20">
        <v>1</v>
      </c>
      <c r="F20" t="s">
        <v>392</v>
      </c>
      <c r="G20" t="s">
        <v>56</v>
      </c>
      <c r="I20" t="s">
        <v>31</v>
      </c>
      <c r="J20" t="s">
        <v>24</v>
      </c>
      <c r="K20" t="s">
        <v>17</v>
      </c>
    </row>
    <row r="21" spans="1:11" x14ac:dyDescent="0.2">
      <c r="A21">
        <v>2969</v>
      </c>
      <c r="B21" t="s">
        <v>147</v>
      </c>
      <c r="C21" t="s">
        <v>12</v>
      </c>
      <c r="D21" t="s">
        <v>20</v>
      </c>
      <c r="E21">
        <v>1</v>
      </c>
      <c r="F21" t="s">
        <v>392</v>
      </c>
      <c r="G21" t="s">
        <v>56</v>
      </c>
      <c r="I21" t="s">
        <v>37</v>
      </c>
      <c r="J21" t="s">
        <v>24</v>
      </c>
      <c r="K21" t="s">
        <v>24</v>
      </c>
    </row>
    <row r="22" spans="1:11" x14ac:dyDescent="0.2">
      <c r="A22">
        <v>8401</v>
      </c>
      <c r="B22" t="s">
        <v>147</v>
      </c>
      <c r="C22" t="s">
        <v>12</v>
      </c>
      <c r="D22" t="s">
        <v>12</v>
      </c>
      <c r="E22">
        <v>0</v>
      </c>
      <c r="F22" t="s">
        <v>34</v>
      </c>
      <c r="G22" t="s">
        <v>37</v>
      </c>
      <c r="H22" t="s">
        <v>57</v>
      </c>
      <c r="I22" t="s">
        <v>31</v>
      </c>
      <c r="J22" t="s">
        <v>32</v>
      </c>
      <c r="K22" t="s">
        <v>160</v>
      </c>
    </row>
    <row r="23" spans="1:11" x14ac:dyDescent="0.2">
      <c r="A23">
        <v>3747</v>
      </c>
      <c r="B23" t="s">
        <v>147</v>
      </c>
      <c r="C23" t="s">
        <v>19</v>
      </c>
      <c r="D23" t="s">
        <v>19</v>
      </c>
      <c r="E23">
        <v>0</v>
      </c>
      <c r="F23" t="s">
        <v>394</v>
      </c>
      <c r="G23" t="s">
        <v>21</v>
      </c>
      <c r="H23" t="s">
        <v>161</v>
      </c>
      <c r="I23" t="s">
        <v>52</v>
      </c>
      <c r="J23" t="s">
        <v>38</v>
      </c>
      <c r="K23" t="s">
        <v>162</v>
      </c>
    </row>
    <row r="24" spans="1:11" x14ac:dyDescent="0.2">
      <c r="A24">
        <v>761</v>
      </c>
      <c r="B24" t="s">
        <v>147</v>
      </c>
      <c r="C24" t="s">
        <v>12</v>
      </c>
      <c r="D24" t="s">
        <v>20</v>
      </c>
      <c r="E24">
        <v>1</v>
      </c>
      <c r="F24" t="s">
        <v>392</v>
      </c>
      <c r="G24" t="s">
        <v>56</v>
      </c>
      <c r="H24" t="s">
        <v>60</v>
      </c>
      <c r="I24" t="s">
        <v>43</v>
      </c>
      <c r="J24" t="s">
        <v>24</v>
      </c>
      <c r="K24" t="s">
        <v>24</v>
      </c>
    </row>
    <row r="25" spans="1:11" x14ac:dyDescent="0.2">
      <c r="A25">
        <v>5344</v>
      </c>
      <c r="B25" t="s">
        <v>147</v>
      </c>
      <c r="C25" t="s">
        <v>12</v>
      </c>
      <c r="D25" t="s">
        <v>12</v>
      </c>
      <c r="E25">
        <v>0</v>
      </c>
      <c r="F25" t="s">
        <v>13</v>
      </c>
      <c r="G25" t="s">
        <v>29</v>
      </c>
      <c r="H25" t="s">
        <v>61</v>
      </c>
      <c r="I25" t="s">
        <v>31</v>
      </c>
      <c r="J25" t="s">
        <v>32</v>
      </c>
      <c r="K25" t="s">
        <v>163</v>
      </c>
    </row>
    <row r="26" spans="1:11" x14ac:dyDescent="0.2">
      <c r="A26">
        <v>729</v>
      </c>
      <c r="B26" t="s">
        <v>147</v>
      </c>
      <c r="C26" t="s">
        <v>12</v>
      </c>
      <c r="D26" t="s">
        <v>20</v>
      </c>
      <c r="E26">
        <v>1</v>
      </c>
      <c r="F26" t="s">
        <v>392</v>
      </c>
      <c r="G26" t="s">
        <v>56</v>
      </c>
      <c r="I26" t="s">
        <v>37</v>
      </c>
      <c r="J26" t="s">
        <v>164</v>
      </c>
      <c r="K26" t="s">
        <v>165</v>
      </c>
    </row>
    <row r="27" spans="1:11" x14ac:dyDescent="0.2">
      <c r="A27">
        <v>2782</v>
      </c>
      <c r="B27" t="s">
        <v>147</v>
      </c>
      <c r="C27" t="s">
        <v>12</v>
      </c>
      <c r="D27" t="s">
        <v>20</v>
      </c>
      <c r="E27">
        <v>1</v>
      </c>
      <c r="F27" t="s">
        <v>392</v>
      </c>
      <c r="G27" t="s">
        <v>56</v>
      </c>
      <c r="I27" t="s">
        <v>23</v>
      </c>
      <c r="J27" t="s">
        <v>24</v>
      </c>
      <c r="K27" t="s">
        <v>166</v>
      </c>
    </row>
    <row r="28" spans="1:11" x14ac:dyDescent="0.2">
      <c r="A28">
        <v>951</v>
      </c>
      <c r="B28" t="s">
        <v>147</v>
      </c>
      <c r="C28" t="s">
        <v>12</v>
      </c>
      <c r="D28" t="s">
        <v>12</v>
      </c>
      <c r="E28">
        <v>0</v>
      </c>
      <c r="F28" t="s">
        <v>13</v>
      </c>
      <c r="G28" t="s">
        <v>45</v>
      </c>
      <c r="H28" t="s">
        <v>46</v>
      </c>
      <c r="I28" t="s">
        <v>52</v>
      </c>
      <c r="J28" t="s">
        <v>88</v>
      </c>
      <c r="K28" t="s">
        <v>167</v>
      </c>
    </row>
    <row r="29" spans="1:11" x14ac:dyDescent="0.2">
      <c r="A29">
        <v>9370</v>
      </c>
      <c r="B29" t="s">
        <v>147</v>
      </c>
      <c r="C29" t="s">
        <v>12</v>
      </c>
      <c r="D29" t="s">
        <v>12</v>
      </c>
      <c r="E29">
        <v>0</v>
      </c>
      <c r="F29" t="s">
        <v>13</v>
      </c>
      <c r="G29" t="s">
        <v>29</v>
      </c>
      <c r="I29" t="s">
        <v>37</v>
      </c>
      <c r="J29" t="s">
        <v>32</v>
      </c>
      <c r="K29" t="s">
        <v>62</v>
      </c>
    </row>
    <row r="30" spans="1:11" x14ac:dyDescent="0.2">
      <c r="A30">
        <v>2937</v>
      </c>
      <c r="B30" t="s">
        <v>147</v>
      </c>
      <c r="C30" t="s">
        <v>12</v>
      </c>
      <c r="D30" t="s">
        <v>20</v>
      </c>
      <c r="E30">
        <v>1</v>
      </c>
      <c r="F30" t="s">
        <v>392</v>
      </c>
      <c r="G30" t="s">
        <v>21</v>
      </c>
      <c r="H30" t="s">
        <v>146</v>
      </c>
      <c r="I30" t="s">
        <v>52</v>
      </c>
      <c r="J30" t="s">
        <v>24</v>
      </c>
      <c r="K30" t="s">
        <v>50</v>
      </c>
    </row>
    <row r="31" spans="1:11" x14ac:dyDescent="0.2">
      <c r="A31">
        <v>4745</v>
      </c>
      <c r="B31" t="s">
        <v>147</v>
      </c>
      <c r="C31" t="s">
        <v>12</v>
      </c>
      <c r="D31" t="s">
        <v>12</v>
      </c>
      <c r="E31">
        <v>0</v>
      </c>
      <c r="F31" t="s">
        <v>34</v>
      </c>
      <c r="G31" t="s">
        <v>21</v>
      </c>
      <c r="H31" t="s">
        <v>46</v>
      </c>
      <c r="I31" t="s">
        <v>52</v>
      </c>
      <c r="J31" t="s">
        <v>164</v>
      </c>
      <c r="K31" t="s">
        <v>35</v>
      </c>
    </row>
    <row r="32" spans="1:11" x14ac:dyDescent="0.2">
      <c r="A32">
        <v>241</v>
      </c>
      <c r="B32" t="s">
        <v>147</v>
      </c>
      <c r="C32" t="s">
        <v>19</v>
      </c>
      <c r="D32" t="s">
        <v>19</v>
      </c>
      <c r="E32">
        <v>0</v>
      </c>
      <c r="F32" t="s">
        <v>394</v>
      </c>
      <c r="G32" t="s">
        <v>21</v>
      </c>
      <c r="H32" t="s">
        <v>74</v>
      </c>
      <c r="I32" t="s">
        <v>26</v>
      </c>
      <c r="J32" t="s">
        <v>38</v>
      </c>
      <c r="K32" t="s">
        <v>168</v>
      </c>
    </row>
    <row r="33" spans="1:11" x14ac:dyDescent="0.2">
      <c r="A33">
        <v>5265</v>
      </c>
      <c r="B33" t="s">
        <v>147</v>
      </c>
      <c r="C33" t="s">
        <v>19</v>
      </c>
      <c r="D33" t="s">
        <v>19</v>
      </c>
      <c r="E33">
        <v>0</v>
      </c>
      <c r="F33" t="s">
        <v>394</v>
      </c>
      <c r="G33" t="s">
        <v>21</v>
      </c>
      <c r="H33" t="s">
        <v>30</v>
      </c>
      <c r="I33" t="s">
        <v>31</v>
      </c>
      <c r="J33" t="s">
        <v>38</v>
      </c>
      <c r="K33" t="s">
        <v>169</v>
      </c>
    </row>
    <row r="34" spans="1:11" x14ac:dyDescent="0.2">
      <c r="A34">
        <v>7256</v>
      </c>
      <c r="B34" t="s">
        <v>147</v>
      </c>
      <c r="C34" t="s">
        <v>19</v>
      </c>
      <c r="D34" t="s">
        <v>19</v>
      </c>
      <c r="E34">
        <v>0</v>
      </c>
      <c r="F34" t="s">
        <v>34</v>
      </c>
      <c r="G34" t="s">
        <v>21</v>
      </c>
      <c r="H34" t="s">
        <v>67</v>
      </c>
      <c r="I34" t="s">
        <v>43</v>
      </c>
      <c r="J34" t="s">
        <v>38</v>
      </c>
      <c r="K34" t="s">
        <v>169</v>
      </c>
    </row>
    <row r="35" spans="1:11" x14ac:dyDescent="0.2">
      <c r="A35">
        <v>6563</v>
      </c>
      <c r="B35" t="s">
        <v>147</v>
      </c>
      <c r="C35" t="s">
        <v>12</v>
      </c>
      <c r="D35" t="s">
        <v>12</v>
      </c>
      <c r="E35">
        <v>0</v>
      </c>
      <c r="F35" t="s">
        <v>34</v>
      </c>
      <c r="G35" t="s">
        <v>56</v>
      </c>
      <c r="I35" t="s">
        <v>37</v>
      </c>
      <c r="J35" t="s">
        <v>164</v>
      </c>
      <c r="K35" t="s">
        <v>170</v>
      </c>
    </row>
    <row r="36" spans="1:11" x14ac:dyDescent="0.2">
      <c r="A36">
        <v>779</v>
      </c>
      <c r="B36" t="s">
        <v>147</v>
      </c>
      <c r="C36" t="s">
        <v>12</v>
      </c>
      <c r="D36" t="s">
        <v>20</v>
      </c>
      <c r="E36">
        <v>1</v>
      </c>
      <c r="F36" t="s">
        <v>392</v>
      </c>
      <c r="G36" t="s">
        <v>37</v>
      </c>
      <c r="I36" t="s">
        <v>65</v>
      </c>
      <c r="J36" t="s">
        <v>24</v>
      </c>
      <c r="K36" t="s">
        <v>171</v>
      </c>
    </row>
    <row r="37" spans="1:11" x14ac:dyDescent="0.2">
      <c r="A37">
        <v>10179</v>
      </c>
      <c r="B37" t="s">
        <v>147</v>
      </c>
      <c r="C37" t="s">
        <v>12</v>
      </c>
      <c r="D37" t="s">
        <v>12</v>
      </c>
      <c r="E37">
        <v>0</v>
      </c>
      <c r="F37" t="s">
        <v>13</v>
      </c>
      <c r="G37" t="s">
        <v>29</v>
      </c>
      <c r="I37" t="s">
        <v>65</v>
      </c>
      <c r="J37" t="s">
        <v>32</v>
      </c>
      <c r="K37" t="s">
        <v>142</v>
      </c>
    </row>
    <row r="38" spans="1:11" x14ac:dyDescent="0.2">
      <c r="A38">
        <v>6588</v>
      </c>
      <c r="B38" t="s">
        <v>147</v>
      </c>
      <c r="C38" t="s">
        <v>12</v>
      </c>
      <c r="D38" t="s">
        <v>20</v>
      </c>
      <c r="E38">
        <v>1</v>
      </c>
      <c r="F38" t="s">
        <v>392</v>
      </c>
      <c r="G38" t="s">
        <v>56</v>
      </c>
      <c r="I38" t="s">
        <v>23</v>
      </c>
      <c r="J38" t="s">
        <v>24</v>
      </c>
      <c r="K38" t="s">
        <v>18</v>
      </c>
    </row>
    <row r="39" spans="1:11" x14ac:dyDescent="0.2">
      <c r="A39">
        <v>7805</v>
      </c>
      <c r="B39" t="s">
        <v>147</v>
      </c>
      <c r="C39" t="s">
        <v>12</v>
      </c>
      <c r="D39" t="s">
        <v>12</v>
      </c>
      <c r="E39">
        <v>0</v>
      </c>
      <c r="F39" t="s">
        <v>13</v>
      </c>
      <c r="G39" t="s">
        <v>21</v>
      </c>
      <c r="H39" t="s">
        <v>172</v>
      </c>
      <c r="I39" t="s">
        <v>37</v>
      </c>
      <c r="J39" t="s">
        <v>24</v>
      </c>
      <c r="K39" t="s">
        <v>173</v>
      </c>
    </row>
    <row r="40" spans="1:11" x14ac:dyDescent="0.2">
      <c r="A40">
        <v>2920</v>
      </c>
      <c r="B40" t="s">
        <v>147</v>
      </c>
      <c r="C40" t="s">
        <v>12</v>
      </c>
      <c r="D40" t="s">
        <v>20</v>
      </c>
      <c r="E40">
        <v>1</v>
      </c>
      <c r="F40" t="s">
        <v>392</v>
      </c>
      <c r="G40" t="s">
        <v>21</v>
      </c>
      <c r="H40" t="s">
        <v>73</v>
      </c>
      <c r="I40" t="s">
        <v>26</v>
      </c>
      <c r="J40" t="s">
        <v>24</v>
      </c>
      <c r="K40" t="s">
        <v>166</v>
      </c>
    </row>
    <row r="41" spans="1:11" x14ac:dyDescent="0.2">
      <c r="A41">
        <v>2448</v>
      </c>
      <c r="B41" t="s">
        <v>147</v>
      </c>
      <c r="C41" t="s">
        <v>12</v>
      </c>
      <c r="D41" t="s">
        <v>12</v>
      </c>
      <c r="E41">
        <v>0</v>
      </c>
      <c r="F41" t="s">
        <v>13</v>
      </c>
      <c r="G41" t="s">
        <v>56</v>
      </c>
      <c r="H41" t="s">
        <v>74</v>
      </c>
      <c r="I41" t="s">
        <v>37</v>
      </c>
      <c r="J41" t="s">
        <v>32</v>
      </c>
      <c r="K41" t="s">
        <v>28</v>
      </c>
    </row>
    <row r="42" spans="1:11" x14ac:dyDescent="0.2">
      <c r="A42">
        <v>5371</v>
      </c>
      <c r="B42" t="s">
        <v>147</v>
      </c>
      <c r="C42" t="s">
        <v>12</v>
      </c>
      <c r="D42" t="s">
        <v>12</v>
      </c>
      <c r="E42">
        <v>0</v>
      </c>
      <c r="F42" t="s">
        <v>13</v>
      </c>
      <c r="G42" t="s">
        <v>29</v>
      </c>
      <c r="H42" t="s">
        <v>61</v>
      </c>
      <c r="I42" t="s">
        <v>31</v>
      </c>
      <c r="J42" t="s">
        <v>32</v>
      </c>
      <c r="K42" t="s">
        <v>174</v>
      </c>
    </row>
    <row r="43" spans="1:11" x14ac:dyDescent="0.2">
      <c r="A43">
        <v>2747</v>
      </c>
      <c r="B43" t="s">
        <v>147</v>
      </c>
      <c r="C43" t="s">
        <v>12</v>
      </c>
      <c r="D43" t="s">
        <v>12</v>
      </c>
      <c r="E43">
        <v>0</v>
      </c>
      <c r="F43" t="s">
        <v>394</v>
      </c>
      <c r="G43" t="s">
        <v>21</v>
      </c>
      <c r="H43" t="s">
        <v>46</v>
      </c>
      <c r="I43" t="s">
        <v>52</v>
      </c>
      <c r="J43" t="s">
        <v>24</v>
      </c>
      <c r="K43" t="s">
        <v>175</v>
      </c>
    </row>
    <row r="44" spans="1:11" x14ac:dyDescent="0.2">
      <c r="A44">
        <v>8655</v>
      </c>
      <c r="B44" t="s">
        <v>147</v>
      </c>
      <c r="C44" t="s">
        <v>19</v>
      </c>
      <c r="D44" t="s">
        <v>19</v>
      </c>
      <c r="E44">
        <v>0</v>
      </c>
      <c r="F44" t="s">
        <v>34</v>
      </c>
      <c r="G44" t="s">
        <v>78</v>
      </c>
      <c r="I44" t="s">
        <v>52</v>
      </c>
      <c r="J44" t="s">
        <v>40</v>
      </c>
      <c r="K44" t="s">
        <v>40</v>
      </c>
    </row>
    <row r="45" spans="1:11" x14ac:dyDescent="0.2">
      <c r="A45">
        <v>4607</v>
      </c>
      <c r="B45" t="s">
        <v>147</v>
      </c>
      <c r="C45" t="s">
        <v>19</v>
      </c>
      <c r="D45" t="s">
        <v>19</v>
      </c>
      <c r="E45">
        <v>0</v>
      </c>
      <c r="F45" t="s">
        <v>394</v>
      </c>
      <c r="G45" t="s">
        <v>21</v>
      </c>
      <c r="H45" t="s">
        <v>51</v>
      </c>
      <c r="I45" t="s">
        <v>52</v>
      </c>
      <c r="J45" t="s">
        <v>38</v>
      </c>
      <c r="K45" t="s">
        <v>176</v>
      </c>
    </row>
    <row r="46" spans="1:11" x14ac:dyDescent="0.2">
      <c r="A46">
        <v>1854</v>
      </c>
      <c r="B46" t="s">
        <v>147</v>
      </c>
      <c r="C46" t="s">
        <v>12</v>
      </c>
      <c r="D46" t="s">
        <v>20</v>
      </c>
      <c r="E46">
        <v>1</v>
      </c>
      <c r="F46" t="s">
        <v>392</v>
      </c>
      <c r="G46" t="s">
        <v>21</v>
      </c>
      <c r="H46" t="s">
        <v>15</v>
      </c>
      <c r="I46" t="s">
        <v>16</v>
      </c>
      <c r="J46" t="s">
        <v>24</v>
      </c>
      <c r="K46" t="s">
        <v>17</v>
      </c>
    </row>
    <row r="47" spans="1:11" x14ac:dyDescent="0.2">
      <c r="A47">
        <v>9849</v>
      </c>
      <c r="B47" t="s">
        <v>147</v>
      </c>
      <c r="C47" t="s">
        <v>12</v>
      </c>
      <c r="D47" t="s">
        <v>12</v>
      </c>
      <c r="E47">
        <v>0</v>
      </c>
      <c r="F47" t="s">
        <v>13</v>
      </c>
      <c r="G47" t="s">
        <v>29</v>
      </c>
      <c r="I47" t="s">
        <v>65</v>
      </c>
      <c r="J47" t="s">
        <v>38</v>
      </c>
      <c r="K47" t="s">
        <v>177</v>
      </c>
    </row>
    <row r="48" spans="1:11" x14ac:dyDescent="0.2">
      <c r="A48">
        <v>516</v>
      </c>
      <c r="B48" t="s">
        <v>147</v>
      </c>
      <c r="C48" t="s">
        <v>19</v>
      </c>
      <c r="D48" t="s">
        <v>19</v>
      </c>
      <c r="E48">
        <v>0</v>
      </c>
      <c r="F48" t="s">
        <v>394</v>
      </c>
      <c r="G48" t="s">
        <v>21</v>
      </c>
      <c r="H48" t="s">
        <v>81</v>
      </c>
      <c r="I48" t="s">
        <v>31</v>
      </c>
      <c r="J48" t="s">
        <v>38</v>
      </c>
      <c r="K48" t="s">
        <v>178</v>
      </c>
    </row>
    <row r="49" spans="1:11" x14ac:dyDescent="0.2">
      <c r="A49">
        <v>1289</v>
      </c>
      <c r="B49" t="s">
        <v>147</v>
      </c>
      <c r="C49" t="s">
        <v>19</v>
      </c>
      <c r="D49" t="s">
        <v>19</v>
      </c>
      <c r="E49">
        <v>0</v>
      </c>
      <c r="F49" t="s">
        <v>34</v>
      </c>
      <c r="G49" t="s">
        <v>21</v>
      </c>
      <c r="H49" t="s">
        <v>179</v>
      </c>
      <c r="I49" t="s">
        <v>23</v>
      </c>
      <c r="J49" t="s">
        <v>32</v>
      </c>
      <c r="K49" t="s">
        <v>32</v>
      </c>
    </row>
    <row r="50" spans="1:11" x14ac:dyDescent="0.2">
      <c r="A50">
        <v>8366</v>
      </c>
      <c r="B50" t="s">
        <v>147</v>
      </c>
      <c r="C50" t="s">
        <v>12</v>
      </c>
      <c r="D50" t="s">
        <v>20</v>
      </c>
      <c r="E50">
        <v>1</v>
      </c>
      <c r="F50" t="s">
        <v>392</v>
      </c>
      <c r="G50" t="s">
        <v>56</v>
      </c>
      <c r="I50" t="s">
        <v>37</v>
      </c>
      <c r="J50" t="s">
        <v>24</v>
      </c>
      <c r="K50" t="s">
        <v>18</v>
      </c>
    </row>
    <row r="51" spans="1:11" x14ac:dyDescent="0.2">
      <c r="A51">
        <v>2889</v>
      </c>
      <c r="B51" t="s">
        <v>147</v>
      </c>
      <c r="C51" t="s">
        <v>12</v>
      </c>
      <c r="D51" t="s">
        <v>12</v>
      </c>
      <c r="E51">
        <v>0</v>
      </c>
      <c r="F51" t="s">
        <v>34</v>
      </c>
      <c r="G51" t="s">
        <v>56</v>
      </c>
      <c r="I51" t="s">
        <v>37</v>
      </c>
      <c r="J51" t="s">
        <v>24</v>
      </c>
      <c r="K51" t="s">
        <v>180</v>
      </c>
    </row>
    <row r="52" spans="1:11" x14ac:dyDescent="0.2">
      <c r="A52">
        <v>5185</v>
      </c>
      <c r="B52" t="s">
        <v>147</v>
      </c>
      <c r="C52" t="s">
        <v>12</v>
      </c>
      <c r="D52" t="s">
        <v>12</v>
      </c>
      <c r="E52">
        <v>0</v>
      </c>
      <c r="F52" t="s">
        <v>13</v>
      </c>
      <c r="G52" t="s">
        <v>37</v>
      </c>
      <c r="H52" t="s">
        <v>61</v>
      </c>
      <c r="I52" t="s">
        <v>31</v>
      </c>
      <c r="J52" t="s">
        <v>32</v>
      </c>
      <c r="K52" t="s">
        <v>181</v>
      </c>
    </row>
    <row r="53" spans="1:11" x14ac:dyDescent="0.2">
      <c r="A53">
        <v>259</v>
      </c>
      <c r="B53" t="s">
        <v>147</v>
      </c>
      <c r="C53" t="s">
        <v>12</v>
      </c>
      <c r="D53" t="s">
        <v>20</v>
      </c>
      <c r="E53">
        <v>1</v>
      </c>
      <c r="F53" t="s">
        <v>392</v>
      </c>
      <c r="G53" t="s">
        <v>56</v>
      </c>
      <c r="I53" t="s">
        <v>23</v>
      </c>
      <c r="J53" t="s">
        <v>24</v>
      </c>
      <c r="K53" t="s">
        <v>152</v>
      </c>
    </row>
    <row r="54" spans="1:11" x14ac:dyDescent="0.2">
      <c r="A54">
        <v>474</v>
      </c>
      <c r="B54" t="s">
        <v>147</v>
      </c>
      <c r="C54" t="s">
        <v>19</v>
      </c>
      <c r="D54" t="s">
        <v>19</v>
      </c>
      <c r="E54">
        <v>0</v>
      </c>
      <c r="F54" t="s">
        <v>34</v>
      </c>
      <c r="G54" t="s">
        <v>21</v>
      </c>
      <c r="H54" t="s">
        <v>49</v>
      </c>
      <c r="I54" t="s">
        <v>37</v>
      </c>
      <c r="J54" t="s">
        <v>40</v>
      </c>
      <c r="K54" t="s">
        <v>182</v>
      </c>
    </row>
    <row r="55" spans="1:11" x14ac:dyDescent="0.2">
      <c r="A55">
        <v>138</v>
      </c>
      <c r="B55" t="s">
        <v>147</v>
      </c>
      <c r="C55" t="s">
        <v>12</v>
      </c>
      <c r="D55" t="s">
        <v>20</v>
      </c>
      <c r="E55">
        <v>1</v>
      </c>
      <c r="F55" t="s">
        <v>392</v>
      </c>
      <c r="G55" t="s">
        <v>56</v>
      </c>
      <c r="H55" t="s">
        <v>15</v>
      </c>
      <c r="I55" t="s">
        <v>16</v>
      </c>
      <c r="J55" t="s">
        <v>24</v>
      </c>
      <c r="K55" t="s">
        <v>18</v>
      </c>
    </row>
    <row r="56" spans="1:11" x14ac:dyDescent="0.2">
      <c r="A56">
        <v>4744</v>
      </c>
      <c r="B56" t="s">
        <v>147</v>
      </c>
      <c r="C56" t="s">
        <v>12</v>
      </c>
      <c r="D56" t="s">
        <v>12</v>
      </c>
      <c r="E56">
        <v>0</v>
      </c>
      <c r="F56" t="s">
        <v>34</v>
      </c>
      <c r="G56" t="s">
        <v>21</v>
      </c>
      <c r="H56" t="s">
        <v>46</v>
      </c>
      <c r="I56" t="s">
        <v>52</v>
      </c>
      <c r="J56" t="s">
        <v>164</v>
      </c>
      <c r="K56" t="s">
        <v>183</v>
      </c>
    </row>
    <row r="57" spans="1:11" x14ac:dyDescent="0.2">
      <c r="A57">
        <v>5338</v>
      </c>
      <c r="B57" t="s">
        <v>147</v>
      </c>
      <c r="C57" t="s">
        <v>12</v>
      </c>
      <c r="D57" t="s">
        <v>20</v>
      </c>
      <c r="E57">
        <v>1</v>
      </c>
      <c r="F57" t="s">
        <v>392</v>
      </c>
      <c r="G57" t="s">
        <v>56</v>
      </c>
      <c r="H57" t="s">
        <v>144</v>
      </c>
      <c r="I57" t="s">
        <v>43</v>
      </c>
      <c r="J57" t="s">
        <v>24</v>
      </c>
      <c r="K57" t="s">
        <v>17</v>
      </c>
    </row>
    <row r="58" spans="1:11" x14ac:dyDescent="0.2">
      <c r="A58">
        <v>5518</v>
      </c>
      <c r="B58" t="s">
        <v>147</v>
      </c>
      <c r="C58" t="s">
        <v>12</v>
      </c>
      <c r="D58" t="s">
        <v>12</v>
      </c>
      <c r="E58">
        <v>0</v>
      </c>
      <c r="F58" t="s">
        <v>13</v>
      </c>
      <c r="G58" t="s">
        <v>29</v>
      </c>
      <c r="I58" t="s">
        <v>31</v>
      </c>
      <c r="J58" t="s">
        <v>32</v>
      </c>
      <c r="K58" t="s">
        <v>184</v>
      </c>
    </row>
    <row r="59" spans="1:11" x14ac:dyDescent="0.2">
      <c r="A59">
        <v>3333</v>
      </c>
      <c r="B59" t="s">
        <v>147</v>
      </c>
      <c r="C59" t="s">
        <v>12</v>
      </c>
      <c r="D59" t="s">
        <v>20</v>
      </c>
      <c r="E59">
        <v>1</v>
      </c>
      <c r="F59" t="s">
        <v>392</v>
      </c>
      <c r="G59" t="s">
        <v>37</v>
      </c>
      <c r="H59" t="s">
        <v>58</v>
      </c>
      <c r="I59" t="s">
        <v>52</v>
      </c>
      <c r="J59" t="s">
        <v>24</v>
      </c>
      <c r="K59" t="s">
        <v>174</v>
      </c>
    </row>
    <row r="60" spans="1:11" x14ac:dyDescent="0.2">
      <c r="A60">
        <v>9454</v>
      </c>
      <c r="B60" t="s">
        <v>147</v>
      </c>
      <c r="C60" t="s">
        <v>12</v>
      </c>
      <c r="D60" t="s">
        <v>12</v>
      </c>
      <c r="E60">
        <v>0</v>
      </c>
      <c r="F60" t="s">
        <v>13</v>
      </c>
      <c r="G60" t="s">
        <v>29</v>
      </c>
      <c r="H60" t="s">
        <v>25</v>
      </c>
      <c r="I60" t="s">
        <v>37</v>
      </c>
      <c r="J60" t="s">
        <v>38</v>
      </c>
      <c r="K60" t="s">
        <v>124</v>
      </c>
    </row>
    <row r="61" spans="1:11" x14ac:dyDescent="0.2">
      <c r="A61">
        <v>896</v>
      </c>
      <c r="B61" t="s">
        <v>147</v>
      </c>
      <c r="C61" t="s">
        <v>12</v>
      </c>
      <c r="D61" t="s">
        <v>20</v>
      </c>
      <c r="E61">
        <v>1</v>
      </c>
      <c r="F61" t="s">
        <v>392</v>
      </c>
      <c r="G61" t="s">
        <v>37</v>
      </c>
      <c r="I61" t="s">
        <v>37</v>
      </c>
      <c r="J61" t="s">
        <v>24</v>
      </c>
      <c r="K61" t="s">
        <v>24</v>
      </c>
    </row>
    <row r="62" spans="1:11" x14ac:dyDescent="0.2">
      <c r="A62">
        <v>2192</v>
      </c>
      <c r="B62" t="s">
        <v>147</v>
      </c>
      <c r="C62" t="s">
        <v>12</v>
      </c>
      <c r="D62" t="s">
        <v>20</v>
      </c>
      <c r="E62">
        <v>1</v>
      </c>
      <c r="F62" t="s">
        <v>392</v>
      </c>
      <c r="G62" t="s">
        <v>56</v>
      </c>
      <c r="I62" t="s">
        <v>37</v>
      </c>
      <c r="J62" t="s">
        <v>24</v>
      </c>
      <c r="K62" t="s">
        <v>17</v>
      </c>
    </row>
    <row r="63" spans="1:11" x14ac:dyDescent="0.2">
      <c r="A63">
        <v>9847</v>
      </c>
      <c r="B63" t="s">
        <v>147</v>
      </c>
      <c r="C63" t="s">
        <v>12</v>
      </c>
      <c r="D63" t="s">
        <v>12</v>
      </c>
      <c r="E63">
        <v>0</v>
      </c>
      <c r="F63" t="s">
        <v>13</v>
      </c>
      <c r="G63" t="s">
        <v>29</v>
      </c>
      <c r="H63" t="s">
        <v>25</v>
      </c>
      <c r="I63" t="s">
        <v>65</v>
      </c>
      <c r="J63" t="s">
        <v>32</v>
      </c>
      <c r="K63" t="s">
        <v>171</v>
      </c>
    </row>
    <row r="64" spans="1:11" x14ac:dyDescent="0.2">
      <c r="A64">
        <v>6929</v>
      </c>
      <c r="B64" t="s">
        <v>147</v>
      </c>
      <c r="C64" t="s">
        <v>19</v>
      </c>
      <c r="D64" t="s">
        <v>19</v>
      </c>
      <c r="E64">
        <v>0</v>
      </c>
      <c r="F64" t="s">
        <v>34</v>
      </c>
      <c r="G64" t="s">
        <v>21</v>
      </c>
      <c r="H64" t="s">
        <v>89</v>
      </c>
      <c r="I64" t="s">
        <v>31</v>
      </c>
      <c r="J64" t="s">
        <v>24</v>
      </c>
      <c r="K64" t="s">
        <v>62</v>
      </c>
    </row>
    <row r="65" spans="1:11" x14ac:dyDescent="0.2">
      <c r="A65">
        <v>2012</v>
      </c>
      <c r="B65" t="s">
        <v>147</v>
      </c>
      <c r="C65" t="s">
        <v>19</v>
      </c>
      <c r="D65" t="s">
        <v>20</v>
      </c>
      <c r="E65">
        <v>1</v>
      </c>
      <c r="F65" t="s">
        <v>392</v>
      </c>
      <c r="G65" t="s">
        <v>56</v>
      </c>
      <c r="I65" t="s">
        <v>37</v>
      </c>
      <c r="J65" t="s">
        <v>17</v>
      </c>
      <c r="K65" t="s">
        <v>65</v>
      </c>
    </row>
    <row r="66" spans="1:11" x14ac:dyDescent="0.2">
      <c r="A66">
        <v>1010</v>
      </c>
      <c r="B66" t="s">
        <v>147</v>
      </c>
      <c r="C66" t="s">
        <v>19</v>
      </c>
      <c r="D66" t="s">
        <v>19</v>
      </c>
      <c r="E66">
        <v>0</v>
      </c>
      <c r="F66" t="s">
        <v>392</v>
      </c>
      <c r="G66" t="s">
        <v>21</v>
      </c>
      <c r="H66" t="s">
        <v>185</v>
      </c>
      <c r="I66" t="s">
        <v>65</v>
      </c>
      <c r="J66" t="s">
        <v>24</v>
      </c>
      <c r="K66" t="s">
        <v>24</v>
      </c>
    </row>
    <row r="67" spans="1:11" x14ac:dyDescent="0.2">
      <c r="A67">
        <v>6131</v>
      </c>
      <c r="B67" t="s">
        <v>147</v>
      </c>
      <c r="C67" t="s">
        <v>12</v>
      </c>
      <c r="D67" t="s">
        <v>20</v>
      </c>
      <c r="E67">
        <v>1</v>
      </c>
      <c r="F67" t="s">
        <v>392</v>
      </c>
      <c r="G67" t="s">
        <v>37</v>
      </c>
      <c r="H67" t="s">
        <v>186</v>
      </c>
      <c r="I67" t="s">
        <v>26</v>
      </c>
      <c r="J67" t="s">
        <v>32</v>
      </c>
      <c r="K67" t="s">
        <v>97</v>
      </c>
    </row>
    <row r="68" spans="1:11" x14ac:dyDescent="0.2">
      <c r="A68">
        <v>4698</v>
      </c>
      <c r="B68" t="s">
        <v>147</v>
      </c>
      <c r="C68" t="s">
        <v>19</v>
      </c>
      <c r="D68" t="s">
        <v>20</v>
      </c>
      <c r="E68">
        <v>1</v>
      </c>
      <c r="F68" t="s">
        <v>392</v>
      </c>
      <c r="G68" t="s">
        <v>21</v>
      </c>
      <c r="H68" t="s">
        <v>22</v>
      </c>
      <c r="I68" t="s">
        <v>23</v>
      </c>
      <c r="J68" t="s">
        <v>24</v>
      </c>
      <c r="K68" t="s">
        <v>65</v>
      </c>
    </row>
    <row r="69" spans="1:11" x14ac:dyDescent="0.2">
      <c r="A69">
        <v>3959</v>
      </c>
      <c r="B69" t="s">
        <v>147</v>
      </c>
      <c r="C69" t="s">
        <v>12</v>
      </c>
      <c r="D69" t="s">
        <v>20</v>
      </c>
      <c r="E69">
        <v>1</v>
      </c>
      <c r="F69" t="s">
        <v>392</v>
      </c>
      <c r="G69" t="s">
        <v>21</v>
      </c>
      <c r="I69" t="s">
        <v>37</v>
      </c>
      <c r="J69" t="s">
        <v>24</v>
      </c>
      <c r="K69" t="s">
        <v>17</v>
      </c>
    </row>
    <row r="70" spans="1:11" x14ac:dyDescent="0.2">
      <c r="A70">
        <v>8850</v>
      </c>
      <c r="B70" t="s">
        <v>147</v>
      </c>
      <c r="C70" t="s">
        <v>12</v>
      </c>
      <c r="D70" t="s">
        <v>12</v>
      </c>
      <c r="E70">
        <v>0</v>
      </c>
      <c r="F70" t="s">
        <v>13</v>
      </c>
      <c r="G70" t="s">
        <v>29</v>
      </c>
      <c r="H70" t="s">
        <v>57</v>
      </c>
      <c r="I70" t="s">
        <v>31</v>
      </c>
      <c r="J70" t="s">
        <v>32</v>
      </c>
      <c r="K70" t="s">
        <v>124</v>
      </c>
    </row>
    <row r="71" spans="1:11" x14ac:dyDescent="0.2">
      <c r="A71">
        <v>4479</v>
      </c>
      <c r="B71" t="s">
        <v>147</v>
      </c>
      <c r="C71" t="s">
        <v>12</v>
      </c>
      <c r="D71" t="s">
        <v>12</v>
      </c>
      <c r="E71">
        <v>0</v>
      </c>
      <c r="F71" t="s">
        <v>394</v>
      </c>
      <c r="G71" t="s">
        <v>56</v>
      </c>
      <c r="H71" t="s">
        <v>113</v>
      </c>
      <c r="I71" t="s">
        <v>16</v>
      </c>
      <c r="J71" t="s">
        <v>24</v>
      </c>
      <c r="K71" t="s">
        <v>50</v>
      </c>
    </row>
    <row r="72" spans="1:11" x14ac:dyDescent="0.2">
      <c r="A72">
        <v>416</v>
      </c>
      <c r="B72" t="s">
        <v>147</v>
      </c>
      <c r="C72" t="s">
        <v>19</v>
      </c>
      <c r="D72" t="s">
        <v>19</v>
      </c>
      <c r="E72">
        <v>0</v>
      </c>
      <c r="F72" t="s">
        <v>394</v>
      </c>
      <c r="G72" t="s">
        <v>21</v>
      </c>
      <c r="I72" t="s">
        <v>26</v>
      </c>
      <c r="J72" t="s">
        <v>32</v>
      </c>
      <c r="K72" t="s">
        <v>62</v>
      </c>
    </row>
    <row r="73" spans="1:11" x14ac:dyDescent="0.2">
      <c r="A73">
        <v>9023</v>
      </c>
      <c r="B73" t="s">
        <v>147</v>
      </c>
      <c r="C73" t="s">
        <v>12</v>
      </c>
      <c r="D73" t="s">
        <v>12</v>
      </c>
      <c r="E73">
        <v>0</v>
      </c>
      <c r="F73" t="s">
        <v>13</v>
      </c>
      <c r="G73" t="s">
        <v>56</v>
      </c>
      <c r="H73" t="s">
        <v>57</v>
      </c>
      <c r="I73" t="s">
        <v>31</v>
      </c>
      <c r="J73" t="s">
        <v>17</v>
      </c>
      <c r="K73" t="s">
        <v>187</v>
      </c>
    </row>
    <row r="74" spans="1:11" x14ac:dyDescent="0.2">
      <c r="A74">
        <v>9602</v>
      </c>
      <c r="B74" t="s">
        <v>147</v>
      </c>
      <c r="C74" t="s">
        <v>12</v>
      </c>
      <c r="D74" t="s">
        <v>12</v>
      </c>
      <c r="E74">
        <v>0</v>
      </c>
      <c r="F74" t="s">
        <v>394</v>
      </c>
      <c r="G74" t="s">
        <v>29</v>
      </c>
      <c r="H74" t="s">
        <v>73</v>
      </c>
      <c r="I74" t="s">
        <v>26</v>
      </c>
      <c r="J74" t="s">
        <v>38</v>
      </c>
      <c r="K74" t="s">
        <v>188</v>
      </c>
    </row>
    <row r="75" spans="1:11" x14ac:dyDescent="0.2">
      <c r="A75">
        <v>2534</v>
      </c>
      <c r="B75" t="s">
        <v>147</v>
      </c>
      <c r="C75" t="s">
        <v>19</v>
      </c>
      <c r="D75" t="s">
        <v>20</v>
      </c>
      <c r="E75">
        <v>1</v>
      </c>
      <c r="F75" t="s">
        <v>392</v>
      </c>
      <c r="G75" t="s">
        <v>21</v>
      </c>
      <c r="I75" t="s">
        <v>37</v>
      </c>
      <c r="J75" t="s">
        <v>24</v>
      </c>
      <c r="K75" t="s">
        <v>166</v>
      </c>
    </row>
    <row r="76" spans="1:11" x14ac:dyDescent="0.2">
      <c r="A76">
        <v>3637</v>
      </c>
      <c r="B76" t="s">
        <v>147</v>
      </c>
      <c r="C76" t="s">
        <v>12</v>
      </c>
      <c r="D76" t="s">
        <v>20</v>
      </c>
      <c r="E76">
        <v>1</v>
      </c>
      <c r="F76" t="s">
        <v>392</v>
      </c>
      <c r="G76" t="s">
        <v>56</v>
      </c>
      <c r="H76" t="s">
        <v>94</v>
      </c>
      <c r="I76" t="s">
        <v>31</v>
      </c>
      <c r="J76" t="s">
        <v>88</v>
      </c>
      <c r="K76" t="s">
        <v>171</v>
      </c>
    </row>
    <row r="77" spans="1:11" x14ac:dyDescent="0.2">
      <c r="A77">
        <v>4305</v>
      </c>
      <c r="B77" t="s">
        <v>147</v>
      </c>
      <c r="C77" t="s">
        <v>12</v>
      </c>
      <c r="D77" t="s">
        <v>12</v>
      </c>
      <c r="E77">
        <v>0</v>
      </c>
      <c r="F77" t="s">
        <v>394</v>
      </c>
      <c r="G77" t="s">
        <v>56</v>
      </c>
      <c r="I77" t="s">
        <v>37</v>
      </c>
      <c r="J77" t="s">
        <v>164</v>
      </c>
      <c r="K77" t="s">
        <v>189</v>
      </c>
    </row>
    <row r="78" spans="1:11" x14ac:dyDescent="0.2">
      <c r="A78">
        <v>383</v>
      </c>
      <c r="B78" t="s">
        <v>147</v>
      </c>
      <c r="C78" t="s">
        <v>19</v>
      </c>
      <c r="D78" t="s">
        <v>19</v>
      </c>
      <c r="E78">
        <v>0</v>
      </c>
      <c r="F78" t="s">
        <v>394</v>
      </c>
      <c r="G78" t="s">
        <v>21</v>
      </c>
      <c r="H78" t="s">
        <v>190</v>
      </c>
      <c r="I78" t="s">
        <v>31</v>
      </c>
      <c r="J78" t="s">
        <v>38</v>
      </c>
      <c r="K78" t="s">
        <v>123</v>
      </c>
    </row>
    <row r="79" spans="1:11" x14ac:dyDescent="0.2">
      <c r="A79">
        <v>9695</v>
      </c>
      <c r="B79" t="s">
        <v>147</v>
      </c>
      <c r="C79" t="s">
        <v>12</v>
      </c>
      <c r="D79" t="s">
        <v>12</v>
      </c>
      <c r="E79">
        <v>0</v>
      </c>
      <c r="F79" t="s">
        <v>13</v>
      </c>
      <c r="G79" t="s">
        <v>29</v>
      </c>
      <c r="I79" t="s">
        <v>37</v>
      </c>
      <c r="J79" t="s">
        <v>38</v>
      </c>
      <c r="K79" t="s">
        <v>54</v>
      </c>
    </row>
    <row r="80" spans="1:11" x14ac:dyDescent="0.2">
      <c r="A80">
        <v>4054</v>
      </c>
      <c r="B80" t="s">
        <v>147</v>
      </c>
      <c r="C80" t="s">
        <v>12</v>
      </c>
      <c r="D80" t="s">
        <v>12</v>
      </c>
      <c r="E80">
        <v>0</v>
      </c>
      <c r="F80" t="s">
        <v>13</v>
      </c>
      <c r="G80" t="s">
        <v>29</v>
      </c>
      <c r="H80" t="s">
        <v>30</v>
      </c>
      <c r="I80" t="s">
        <v>31</v>
      </c>
      <c r="J80" t="s">
        <v>24</v>
      </c>
      <c r="K80" t="s">
        <v>115</v>
      </c>
    </row>
    <row r="81" spans="1:11" x14ac:dyDescent="0.2">
      <c r="A81">
        <v>2931</v>
      </c>
      <c r="B81" t="s">
        <v>147</v>
      </c>
      <c r="C81" t="s">
        <v>12</v>
      </c>
      <c r="D81" t="s">
        <v>12</v>
      </c>
      <c r="E81">
        <v>0</v>
      </c>
      <c r="F81" t="s">
        <v>34</v>
      </c>
      <c r="G81" t="s">
        <v>56</v>
      </c>
      <c r="I81" t="s">
        <v>37</v>
      </c>
      <c r="J81" t="s">
        <v>65</v>
      </c>
      <c r="K81" t="s">
        <v>68</v>
      </c>
    </row>
    <row r="82" spans="1:11" x14ac:dyDescent="0.2">
      <c r="A82">
        <v>6297</v>
      </c>
      <c r="B82" t="s">
        <v>147</v>
      </c>
      <c r="C82" t="s">
        <v>19</v>
      </c>
      <c r="D82" t="s">
        <v>12</v>
      </c>
      <c r="E82">
        <v>1</v>
      </c>
      <c r="F82" t="s">
        <v>394</v>
      </c>
      <c r="G82" t="s">
        <v>21</v>
      </c>
      <c r="H82" t="s">
        <v>99</v>
      </c>
      <c r="I82" t="s">
        <v>23</v>
      </c>
      <c r="J82" t="s">
        <v>24</v>
      </c>
      <c r="K82" t="s">
        <v>191</v>
      </c>
    </row>
    <row r="83" spans="1:11" x14ac:dyDescent="0.2">
      <c r="A83">
        <v>3683</v>
      </c>
      <c r="B83" t="s">
        <v>147</v>
      </c>
      <c r="C83" t="s">
        <v>12</v>
      </c>
      <c r="D83" t="s">
        <v>12</v>
      </c>
      <c r="E83">
        <v>0</v>
      </c>
      <c r="F83" t="s">
        <v>13</v>
      </c>
      <c r="G83" t="s">
        <v>29</v>
      </c>
      <c r="H83" t="s">
        <v>46</v>
      </c>
      <c r="I83" t="s">
        <v>52</v>
      </c>
      <c r="J83" t="s">
        <v>24</v>
      </c>
      <c r="K83" t="s">
        <v>192</v>
      </c>
    </row>
    <row r="84" spans="1:11" x14ac:dyDescent="0.2">
      <c r="A84">
        <v>9343</v>
      </c>
      <c r="B84" t="s">
        <v>147</v>
      </c>
      <c r="C84" t="s">
        <v>19</v>
      </c>
      <c r="D84" t="s">
        <v>20</v>
      </c>
      <c r="E84">
        <v>1</v>
      </c>
      <c r="F84" t="s">
        <v>392</v>
      </c>
      <c r="G84" t="s">
        <v>21</v>
      </c>
      <c r="H84" t="s">
        <v>49</v>
      </c>
      <c r="I84" t="s">
        <v>37</v>
      </c>
      <c r="J84" t="s">
        <v>24</v>
      </c>
      <c r="K84" t="s">
        <v>101</v>
      </c>
    </row>
    <row r="85" spans="1:11" x14ac:dyDescent="0.2">
      <c r="A85">
        <v>5733</v>
      </c>
      <c r="B85" t="s">
        <v>147</v>
      </c>
      <c r="C85" t="s">
        <v>12</v>
      </c>
      <c r="D85" t="s">
        <v>12</v>
      </c>
      <c r="E85">
        <v>0</v>
      </c>
      <c r="F85" t="s">
        <v>34</v>
      </c>
      <c r="G85" t="s">
        <v>14</v>
      </c>
      <c r="H85" t="s">
        <v>102</v>
      </c>
      <c r="I85" t="s">
        <v>43</v>
      </c>
      <c r="J85" t="s">
        <v>164</v>
      </c>
      <c r="K85" t="s">
        <v>193</v>
      </c>
    </row>
    <row r="86" spans="1:11" x14ac:dyDescent="0.2">
      <c r="A86">
        <v>6601</v>
      </c>
      <c r="B86" t="s">
        <v>147</v>
      </c>
      <c r="C86" t="s">
        <v>12</v>
      </c>
      <c r="D86" t="s">
        <v>12</v>
      </c>
      <c r="E86">
        <v>0</v>
      </c>
      <c r="F86" t="s">
        <v>394</v>
      </c>
      <c r="G86" t="s">
        <v>56</v>
      </c>
      <c r="I86" t="s">
        <v>31</v>
      </c>
      <c r="J86" t="s">
        <v>164</v>
      </c>
      <c r="K86" t="s">
        <v>170</v>
      </c>
    </row>
    <row r="87" spans="1:11" x14ac:dyDescent="0.2">
      <c r="A87">
        <v>6550</v>
      </c>
      <c r="B87" t="s">
        <v>147</v>
      </c>
      <c r="C87" t="s">
        <v>12</v>
      </c>
      <c r="D87" t="s">
        <v>20</v>
      </c>
      <c r="E87">
        <v>1</v>
      </c>
      <c r="F87" t="s">
        <v>392</v>
      </c>
      <c r="G87" t="s">
        <v>21</v>
      </c>
      <c r="H87" t="s">
        <v>61</v>
      </c>
      <c r="I87" t="s">
        <v>31</v>
      </c>
      <c r="J87" t="s">
        <v>24</v>
      </c>
      <c r="K87" t="s">
        <v>83</v>
      </c>
    </row>
    <row r="88" spans="1:11" x14ac:dyDescent="0.2">
      <c r="A88">
        <v>6619</v>
      </c>
      <c r="B88" t="s">
        <v>147</v>
      </c>
      <c r="C88" t="s">
        <v>12</v>
      </c>
      <c r="D88" t="s">
        <v>12</v>
      </c>
      <c r="E88">
        <v>0</v>
      </c>
      <c r="F88" t="s">
        <v>34</v>
      </c>
      <c r="G88" t="s">
        <v>21</v>
      </c>
      <c r="I88" t="s">
        <v>37</v>
      </c>
      <c r="J88" t="s">
        <v>164</v>
      </c>
      <c r="K88" t="s">
        <v>189</v>
      </c>
    </row>
    <row r="89" spans="1:11" x14ac:dyDescent="0.2">
      <c r="A89">
        <v>4379</v>
      </c>
      <c r="B89" t="s">
        <v>147</v>
      </c>
      <c r="C89" t="s">
        <v>19</v>
      </c>
      <c r="D89" t="s">
        <v>20</v>
      </c>
      <c r="E89">
        <v>1</v>
      </c>
      <c r="F89" t="s">
        <v>392</v>
      </c>
      <c r="G89" t="s">
        <v>56</v>
      </c>
      <c r="I89" t="s">
        <v>23</v>
      </c>
      <c r="J89" t="s">
        <v>24</v>
      </c>
      <c r="K89" t="s">
        <v>152</v>
      </c>
    </row>
    <row r="90" spans="1:11" x14ac:dyDescent="0.2">
      <c r="A90">
        <v>923</v>
      </c>
      <c r="B90" t="s">
        <v>147</v>
      </c>
      <c r="C90" t="s">
        <v>12</v>
      </c>
      <c r="D90" t="s">
        <v>12</v>
      </c>
      <c r="E90">
        <v>0</v>
      </c>
      <c r="F90" t="s">
        <v>13</v>
      </c>
      <c r="G90" t="s">
        <v>14</v>
      </c>
      <c r="H90" t="s">
        <v>61</v>
      </c>
      <c r="I90" t="s">
        <v>31</v>
      </c>
      <c r="J90" t="s">
        <v>24</v>
      </c>
      <c r="K90" t="s">
        <v>174</v>
      </c>
    </row>
    <row r="91" spans="1:11" x14ac:dyDescent="0.2">
      <c r="A91">
        <v>1186</v>
      </c>
      <c r="B91" t="s">
        <v>147</v>
      </c>
      <c r="C91" t="s">
        <v>12</v>
      </c>
      <c r="D91" t="s">
        <v>20</v>
      </c>
      <c r="E91">
        <v>1</v>
      </c>
      <c r="F91" t="s">
        <v>392</v>
      </c>
      <c r="G91" t="s">
        <v>37</v>
      </c>
      <c r="I91" t="s">
        <v>23</v>
      </c>
      <c r="J91" t="s">
        <v>24</v>
      </c>
      <c r="K91" t="s">
        <v>194</v>
      </c>
    </row>
    <row r="92" spans="1:11" x14ac:dyDescent="0.2">
      <c r="A92">
        <v>6552</v>
      </c>
      <c r="B92" t="s">
        <v>147</v>
      </c>
      <c r="C92" t="s">
        <v>19</v>
      </c>
      <c r="D92" t="s">
        <v>12</v>
      </c>
      <c r="E92">
        <v>1</v>
      </c>
      <c r="F92" t="s">
        <v>394</v>
      </c>
      <c r="G92" t="s">
        <v>21</v>
      </c>
      <c r="I92" t="s">
        <v>65</v>
      </c>
      <c r="J92" t="s">
        <v>17</v>
      </c>
      <c r="K92" t="s">
        <v>195</v>
      </c>
    </row>
    <row r="93" spans="1:11" x14ac:dyDescent="0.2">
      <c r="A93">
        <v>2292</v>
      </c>
      <c r="B93" t="s">
        <v>147</v>
      </c>
      <c r="C93" t="s">
        <v>12</v>
      </c>
      <c r="D93" t="s">
        <v>20</v>
      </c>
      <c r="E93">
        <v>1</v>
      </c>
      <c r="F93" t="s">
        <v>392</v>
      </c>
      <c r="G93" t="s">
        <v>14</v>
      </c>
      <c r="H93" t="s">
        <v>118</v>
      </c>
      <c r="I93" t="s">
        <v>52</v>
      </c>
      <c r="J93" t="s">
        <v>24</v>
      </c>
      <c r="K93" t="s">
        <v>17</v>
      </c>
    </row>
    <row r="94" spans="1:11" x14ac:dyDescent="0.2">
      <c r="A94">
        <v>5978</v>
      </c>
      <c r="B94" t="s">
        <v>147</v>
      </c>
      <c r="C94" t="s">
        <v>12</v>
      </c>
      <c r="D94" t="s">
        <v>12</v>
      </c>
      <c r="E94">
        <v>0</v>
      </c>
      <c r="F94" t="s">
        <v>394</v>
      </c>
      <c r="G94" t="s">
        <v>56</v>
      </c>
      <c r="I94" t="s">
        <v>31</v>
      </c>
      <c r="J94" t="s">
        <v>55</v>
      </c>
      <c r="K94" t="s">
        <v>87</v>
      </c>
    </row>
    <row r="95" spans="1:11" x14ac:dyDescent="0.2">
      <c r="A95">
        <v>5891</v>
      </c>
      <c r="B95" t="s">
        <v>147</v>
      </c>
      <c r="C95" t="s">
        <v>19</v>
      </c>
      <c r="D95" t="s">
        <v>20</v>
      </c>
      <c r="E95">
        <v>1</v>
      </c>
      <c r="F95" t="s">
        <v>392</v>
      </c>
      <c r="G95" t="s">
        <v>21</v>
      </c>
      <c r="H95" t="s">
        <v>51</v>
      </c>
      <c r="I95" t="s">
        <v>52</v>
      </c>
      <c r="J95" t="s">
        <v>24</v>
      </c>
      <c r="K95" t="s">
        <v>196</v>
      </c>
    </row>
    <row r="96" spans="1:11" x14ac:dyDescent="0.2">
      <c r="A96">
        <v>7289</v>
      </c>
      <c r="B96" t="s">
        <v>147</v>
      </c>
      <c r="C96" t="s">
        <v>19</v>
      </c>
      <c r="D96" t="s">
        <v>19</v>
      </c>
      <c r="E96">
        <v>0</v>
      </c>
      <c r="F96" t="s">
        <v>34</v>
      </c>
      <c r="G96" t="s">
        <v>21</v>
      </c>
      <c r="H96" t="s">
        <v>67</v>
      </c>
      <c r="I96" t="s">
        <v>43</v>
      </c>
      <c r="J96" t="s">
        <v>38</v>
      </c>
      <c r="K96" t="s">
        <v>33</v>
      </c>
    </row>
    <row r="97" spans="1:11" x14ac:dyDescent="0.2">
      <c r="A97">
        <v>3810</v>
      </c>
      <c r="B97" t="s">
        <v>147</v>
      </c>
      <c r="C97" t="s">
        <v>12</v>
      </c>
      <c r="D97" t="s">
        <v>12</v>
      </c>
      <c r="E97">
        <v>0</v>
      </c>
      <c r="F97" t="s">
        <v>13</v>
      </c>
      <c r="G97" t="s">
        <v>29</v>
      </c>
      <c r="I97" t="s">
        <v>31</v>
      </c>
      <c r="J97" t="s">
        <v>32</v>
      </c>
      <c r="K97" t="s">
        <v>197</v>
      </c>
    </row>
    <row r="98" spans="1:11" x14ac:dyDescent="0.2">
      <c r="A98">
        <v>2814</v>
      </c>
      <c r="B98" t="s">
        <v>147</v>
      </c>
      <c r="C98" t="s">
        <v>12</v>
      </c>
      <c r="D98" t="s">
        <v>20</v>
      </c>
      <c r="E98">
        <v>1</v>
      </c>
      <c r="F98" t="s">
        <v>392</v>
      </c>
      <c r="G98" t="s">
        <v>37</v>
      </c>
      <c r="H98" t="s">
        <v>81</v>
      </c>
      <c r="I98" t="s">
        <v>31</v>
      </c>
      <c r="J98" t="s">
        <v>65</v>
      </c>
      <c r="K98" t="s">
        <v>166</v>
      </c>
    </row>
    <row r="99" spans="1:11" x14ac:dyDescent="0.2">
      <c r="A99">
        <v>8263</v>
      </c>
      <c r="B99" t="s">
        <v>147</v>
      </c>
      <c r="C99" t="s">
        <v>19</v>
      </c>
      <c r="D99" t="s">
        <v>19</v>
      </c>
      <c r="E99">
        <v>0</v>
      </c>
      <c r="F99" t="s">
        <v>34</v>
      </c>
      <c r="G99" t="s">
        <v>21</v>
      </c>
      <c r="I99" t="s">
        <v>31</v>
      </c>
      <c r="J99" t="s">
        <v>38</v>
      </c>
      <c r="K99" t="s">
        <v>66</v>
      </c>
    </row>
    <row r="100" spans="1:11" x14ac:dyDescent="0.2">
      <c r="A100">
        <v>5264</v>
      </c>
      <c r="B100" t="s">
        <v>147</v>
      </c>
      <c r="C100" t="s">
        <v>19</v>
      </c>
      <c r="D100" t="s">
        <v>19</v>
      </c>
      <c r="E100">
        <v>0</v>
      </c>
      <c r="F100" t="s">
        <v>394</v>
      </c>
      <c r="G100" t="s">
        <v>21</v>
      </c>
      <c r="H100" t="s">
        <v>30</v>
      </c>
      <c r="I100" t="s">
        <v>31</v>
      </c>
      <c r="J100" t="s">
        <v>32</v>
      </c>
      <c r="K100" t="s">
        <v>97</v>
      </c>
    </row>
    <row r="101" spans="1:11" x14ac:dyDescent="0.2">
      <c r="A101">
        <v>2480</v>
      </c>
      <c r="B101" t="s">
        <v>147</v>
      </c>
      <c r="C101" t="s">
        <v>12</v>
      </c>
      <c r="D101" t="s">
        <v>12</v>
      </c>
      <c r="E101">
        <v>0</v>
      </c>
      <c r="F101" t="s">
        <v>13</v>
      </c>
      <c r="G101" t="s">
        <v>14</v>
      </c>
      <c r="H101" t="s">
        <v>25</v>
      </c>
      <c r="I101" t="s">
        <v>65</v>
      </c>
      <c r="J101" t="s">
        <v>24</v>
      </c>
      <c r="K101" t="s">
        <v>198</v>
      </c>
    </row>
    <row r="102" spans="1:11" x14ac:dyDescent="0.2">
      <c r="A102">
        <v>1713</v>
      </c>
      <c r="B102" t="s">
        <v>147</v>
      </c>
      <c r="C102" t="s">
        <v>19</v>
      </c>
      <c r="D102" t="s">
        <v>20</v>
      </c>
      <c r="E102">
        <v>1</v>
      </c>
      <c r="F102" t="s">
        <v>392</v>
      </c>
      <c r="G102" t="s">
        <v>21</v>
      </c>
      <c r="H102" t="s">
        <v>61</v>
      </c>
      <c r="I102" t="s">
        <v>31</v>
      </c>
      <c r="J102" t="s">
        <v>24</v>
      </c>
      <c r="K102" t="s">
        <v>83</v>
      </c>
    </row>
    <row r="103" spans="1:11" x14ac:dyDescent="0.2">
      <c r="A103">
        <v>877</v>
      </c>
      <c r="B103" t="s">
        <v>147</v>
      </c>
      <c r="C103" t="s">
        <v>19</v>
      </c>
      <c r="D103" t="s">
        <v>20</v>
      </c>
      <c r="E103">
        <v>1</v>
      </c>
      <c r="F103" t="s">
        <v>392</v>
      </c>
      <c r="G103" t="s">
        <v>21</v>
      </c>
      <c r="H103" t="s">
        <v>108</v>
      </c>
      <c r="I103" t="s">
        <v>52</v>
      </c>
      <c r="J103" t="s">
        <v>24</v>
      </c>
      <c r="K103" t="s">
        <v>199</v>
      </c>
    </row>
    <row r="104" spans="1:11" x14ac:dyDescent="0.2">
      <c r="A104">
        <v>7536</v>
      </c>
      <c r="B104" t="s">
        <v>147</v>
      </c>
      <c r="C104" t="s">
        <v>12</v>
      </c>
      <c r="D104" t="s">
        <v>12</v>
      </c>
      <c r="E104">
        <v>0</v>
      </c>
      <c r="F104" t="s">
        <v>34</v>
      </c>
      <c r="G104" t="s">
        <v>29</v>
      </c>
      <c r="H104" t="s">
        <v>49</v>
      </c>
      <c r="I104" t="s">
        <v>37</v>
      </c>
      <c r="J104" t="s">
        <v>32</v>
      </c>
      <c r="K104" t="s">
        <v>143</v>
      </c>
    </row>
    <row r="105" spans="1:11" x14ac:dyDescent="0.2">
      <c r="A105">
        <v>5661</v>
      </c>
      <c r="B105" t="s">
        <v>147</v>
      </c>
      <c r="C105" t="s">
        <v>12</v>
      </c>
      <c r="D105" t="s">
        <v>20</v>
      </c>
      <c r="E105">
        <v>1</v>
      </c>
      <c r="F105" t="s">
        <v>392</v>
      </c>
      <c r="G105" t="s">
        <v>56</v>
      </c>
      <c r="H105" t="s">
        <v>49</v>
      </c>
      <c r="I105" t="s">
        <v>16</v>
      </c>
      <c r="J105" t="s">
        <v>24</v>
      </c>
      <c r="K105" t="s">
        <v>200</v>
      </c>
    </row>
    <row r="106" spans="1:11" x14ac:dyDescent="0.2">
      <c r="A106">
        <v>9980</v>
      </c>
      <c r="B106" t="s">
        <v>147</v>
      </c>
      <c r="C106" t="s">
        <v>12</v>
      </c>
      <c r="D106" t="s">
        <v>12</v>
      </c>
      <c r="E106">
        <v>0</v>
      </c>
      <c r="F106" t="s">
        <v>13</v>
      </c>
      <c r="G106" t="s">
        <v>45</v>
      </c>
      <c r="H106" t="s">
        <v>25</v>
      </c>
      <c r="I106" t="s">
        <v>26</v>
      </c>
      <c r="J106" t="s">
        <v>38</v>
      </c>
      <c r="K106" t="s">
        <v>117</v>
      </c>
    </row>
    <row r="107" spans="1:11" x14ac:dyDescent="0.2">
      <c r="A107">
        <v>6279</v>
      </c>
      <c r="B107" t="s">
        <v>147</v>
      </c>
      <c r="C107" t="s">
        <v>12</v>
      </c>
      <c r="D107" t="s">
        <v>20</v>
      </c>
      <c r="E107">
        <v>1</v>
      </c>
      <c r="F107" t="s">
        <v>392</v>
      </c>
      <c r="G107" t="s">
        <v>56</v>
      </c>
      <c r="I107" t="s">
        <v>23</v>
      </c>
      <c r="J107" t="s">
        <v>24</v>
      </c>
      <c r="K107" t="s">
        <v>17</v>
      </c>
    </row>
    <row r="108" spans="1:11" x14ac:dyDescent="0.2">
      <c r="A108">
        <v>9861</v>
      </c>
      <c r="B108" t="s">
        <v>147</v>
      </c>
      <c r="C108" t="s">
        <v>19</v>
      </c>
      <c r="D108" t="s">
        <v>20</v>
      </c>
      <c r="E108">
        <v>1</v>
      </c>
      <c r="F108" t="s">
        <v>392</v>
      </c>
      <c r="G108" t="s">
        <v>21</v>
      </c>
      <c r="H108" t="s">
        <v>49</v>
      </c>
      <c r="I108" t="s">
        <v>37</v>
      </c>
      <c r="J108" t="s">
        <v>24</v>
      </c>
      <c r="K108" t="s">
        <v>201</v>
      </c>
    </row>
    <row r="109" spans="1:11" x14ac:dyDescent="0.2">
      <c r="A109">
        <v>9505</v>
      </c>
      <c r="B109" t="s">
        <v>147</v>
      </c>
      <c r="C109" t="s">
        <v>12</v>
      </c>
      <c r="D109" t="s">
        <v>12</v>
      </c>
      <c r="E109">
        <v>0</v>
      </c>
      <c r="F109" t="s">
        <v>13</v>
      </c>
      <c r="G109" t="s">
        <v>37</v>
      </c>
      <c r="H109" t="s">
        <v>25</v>
      </c>
      <c r="I109" t="s">
        <v>37</v>
      </c>
      <c r="J109" t="s">
        <v>38</v>
      </c>
      <c r="K109" t="s">
        <v>202</v>
      </c>
    </row>
    <row r="110" spans="1:11" x14ac:dyDescent="0.2">
      <c r="A110">
        <v>940</v>
      </c>
      <c r="B110" t="s">
        <v>147</v>
      </c>
      <c r="C110" t="s">
        <v>12</v>
      </c>
      <c r="D110" t="s">
        <v>12</v>
      </c>
      <c r="E110">
        <v>0</v>
      </c>
      <c r="F110" t="s">
        <v>13</v>
      </c>
      <c r="G110" t="s">
        <v>37</v>
      </c>
      <c r="H110" t="s">
        <v>94</v>
      </c>
      <c r="I110" t="s">
        <v>31</v>
      </c>
      <c r="J110" t="s">
        <v>24</v>
      </c>
      <c r="K110" t="s">
        <v>95</v>
      </c>
    </row>
    <row r="111" spans="1:11" x14ac:dyDescent="0.2">
      <c r="A111">
        <v>6002</v>
      </c>
      <c r="B111" t="s">
        <v>147</v>
      </c>
      <c r="C111" t="s">
        <v>12</v>
      </c>
      <c r="D111" t="s">
        <v>20</v>
      </c>
      <c r="E111">
        <v>1</v>
      </c>
      <c r="F111" t="s">
        <v>392</v>
      </c>
      <c r="G111" t="s">
        <v>56</v>
      </c>
      <c r="I111" t="s">
        <v>37</v>
      </c>
      <c r="J111" t="s">
        <v>24</v>
      </c>
      <c r="K111" t="s">
        <v>24</v>
      </c>
    </row>
    <row r="112" spans="1:11" x14ac:dyDescent="0.2">
      <c r="A112">
        <v>6121</v>
      </c>
      <c r="B112" t="s">
        <v>147</v>
      </c>
      <c r="C112" t="s">
        <v>12</v>
      </c>
      <c r="D112" t="s">
        <v>20</v>
      </c>
      <c r="E112">
        <v>1</v>
      </c>
      <c r="F112" t="s">
        <v>392</v>
      </c>
      <c r="G112" t="s">
        <v>37</v>
      </c>
      <c r="I112" t="s">
        <v>23</v>
      </c>
      <c r="J112" t="s">
        <v>24</v>
      </c>
      <c r="K112" t="s">
        <v>203</v>
      </c>
    </row>
    <row r="113" spans="1:11" x14ac:dyDescent="0.2">
      <c r="A113">
        <v>3193</v>
      </c>
      <c r="B113" t="s">
        <v>147</v>
      </c>
      <c r="C113" t="s">
        <v>19</v>
      </c>
      <c r="D113" t="s">
        <v>19</v>
      </c>
      <c r="E113">
        <v>0</v>
      </c>
      <c r="F113" t="s">
        <v>392</v>
      </c>
      <c r="G113" t="s">
        <v>21</v>
      </c>
      <c r="H113" t="s">
        <v>74</v>
      </c>
      <c r="I113" t="s">
        <v>37</v>
      </c>
      <c r="J113" t="s">
        <v>24</v>
      </c>
      <c r="K113" t="s">
        <v>204</v>
      </c>
    </row>
    <row r="114" spans="1:11" x14ac:dyDescent="0.2">
      <c r="A114">
        <v>5796</v>
      </c>
      <c r="B114" t="s">
        <v>147</v>
      </c>
      <c r="C114" t="s">
        <v>12</v>
      </c>
      <c r="D114" t="s">
        <v>12</v>
      </c>
      <c r="E114">
        <v>0</v>
      </c>
      <c r="F114" t="s">
        <v>13</v>
      </c>
      <c r="G114" t="s">
        <v>29</v>
      </c>
      <c r="H114" t="s">
        <v>61</v>
      </c>
      <c r="I114" t="s">
        <v>31</v>
      </c>
      <c r="J114" t="s">
        <v>65</v>
      </c>
      <c r="K114" t="s">
        <v>50</v>
      </c>
    </row>
    <row r="115" spans="1:11" x14ac:dyDescent="0.2">
      <c r="A115">
        <v>9845</v>
      </c>
      <c r="B115" t="s">
        <v>147</v>
      </c>
      <c r="C115" t="s">
        <v>12</v>
      </c>
      <c r="D115" t="s">
        <v>12</v>
      </c>
      <c r="E115">
        <v>0</v>
      </c>
      <c r="F115" t="s">
        <v>394</v>
      </c>
      <c r="G115" t="s">
        <v>29</v>
      </c>
      <c r="H115" t="s">
        <v>25</v>
      </c>
      <c r="I115" t="s">
        <v>37</v>
      </c>
      <c r="J115" t="s">
        <v>32</v>
      </c>
      <c r="K115" t="s">
        <v>205</v>
      </c>
    </row>
    <row r="116" spans="1:11" x14ac:dyDescent="0.2">
      <c r="A116">
        <v>2911</v>
      </c>
      <c r="B116" t="s">
        <v>147</v>
      </c>
      <c r="C116" t="s">
        <v>12</v>
      </c>
      <c r="D116" t="s">
        <v>20</v>
      </c>
      <c r="E116">
        <v>1</v>
      </c>
      <c r="F116" t="s">
        <v>392</v>
      </c>
      <c r="G116" t="s">
        <v>14</v>
      </c>
      <c r="I116" t="s">
        <v>37</v>
      </c>
      <c r="J116" t="s">
        <v>24</v>
      </c>
      <c r="K116" t="s">
        <v>35</v>
      </c>
    </row>
    <row r="117" spans="1:11" x14ac:dyDescent="0.2">
      <c r="A117">
        <v>10238</v>
      </c>
      <c r="B117" t="s">
        <v>147</v>
      </c>
      <c r="C117" t="s">
        <v>12</v>
      </c>
      <c r="D117" t="s">
        <v>12</v>
      </c>
      <c r="E117">
        <v>0</v>
      </c>
      <c r="F117" t="s">
        <v>34</v>
      </c>
      <c r="G117" t="s">
        <v>56</v>
      </c>
      <c r="H117" t="s">
        <v>46</v>
      </c>
      <c r="I117" t="s">
        <v>52</v>
      </c>
      <c r="J117" t="s">
        <v>17</v>
      </c>
      <c r="K117" t="s">
        <v>63</v>
      </c>
    </row>
    <row r="118" spans="1:11" x14ac:dyDescent="0.2">
      <c r="A118">
        <v>7345</v>
      </c>
      <c r="B118" t="s">
        <v>147</v>
      </c>
      <c r="C118" t="s">
        <v>12</v>
      </c>
      <c r="D118" t="s">
        <v>12</v>
      </c>
      <c r="E118">
        <v>0</v>
      </c>
      <c r="F118" t="s">
        <v>13</v>
      </c>
      <c r="G118" t="s">
        <v>21</v>
      </c>
      <c r="I118" t="s">
        <v>31</v>
      </c>
      <c r="J118" t="s">
        <v>24</v>
      </c>
      <c r="K118" t="s">
        <v>24</v>
      </c>
    </row>
    <row r="119" spans="1:11" x14ac:dyDescent="0.2">
      <c r="A119">
        <v>1947</v>
      </c>
      <c r="B119" t="s">
        <v>147</v>
      </c>
      <c r="C119" t="s">
        <v>19</v>
      </c>
      <c r="D119" t="s">
        <v>19</v>
      </c>
      <c r="E119">
        <v>0</v>
      </c>
      <c r="F119" t="s">
        <v>394</v>
      </c>
      <c r="G119" t="s">
        <v>21</v>
      </c>
      <c r="H119" t="s">
        <v>190</v>
      </c>
      <c r="I119" t="s">
        <v>31</v>
      </c>
      <c r="J119" t="s">
        <v>38</v>
      </c>
      <c r="K119" t="s">
        <v>66</v>
      </c>
    </row>
    <row r="120" spans="1:11" x14ac:dyDescent="0.2">
      <c r="A120">
        <v>8600</v>
      </c>
      <c r="B120" t="s">
        <v>147</v>
      </c>
      <c r="C120" t="s">
        <v>12</v>
      </c>
      <c r="D120" t="s">
        <v>20</v>
      </c>
      <c r="E120">
        <v>1</v>
      </c>
      <c r="F120" t="s">
        <v>392</v>
      </c>
      <c r="G120" t="s">
        <v>56</v>
      </c>
      <c r="I120" t="s">
        <v>37</v>
      </c>
      <c r="J120" t="s">
        <v>24</v>
      </c>
      <c r="K120" t="s">
        <v>24</v>
      </c>
    </row>
    <row r="121" spans="1:11" x14ac:dyDescent="0.2">
      <c r="A121">
        <v>1751</v>
      </c>
      <c r="B121" t="s">
        <v>147</v>
      </c>
      <c r="C121" t="s">
        <v>19</v>
      </c>
      <c r="D121" t="s">
        <v>20</v>
      </c>
      <c r="E121">
        <v>1</v>
      </c>
      <c r="F121" t="s">
        <v>392</v>
      </c>
      <c r="G121" t="s">
        <v>21</v>
      </c>
      <c r="H121" t="s">
        <v>114</v>
      </c>
      <c r="I121" t="s">
        <v>23</v>
      </c>
      <c r="J121" t="s">
        <v>24</v>
      </c>
      <c r="K121" t="s">
        <v>18</v>
      </c>
    </row>
    <row r="122" spans="1:11" x14ac:dyDescent="0.2">
      <c r="A122">
        <v>5771</v>
      </c>
      <c r="B122" t="s">
        <v>147</v>
      </c>
      <c r="C122" t="s">
        <v>19</v>
      </c>
      <c r="D122" t="s">
        <v>12</v>
      </c>
      <c r="E122">
        <v>1</v>
      </c>
      <c r="F122" t="s">
        <v>13</v>
      </c>
      <c r="G122" t="s">
        <v>21</v>
      </c>
      <c r="H122" t="s">
        <v>99</v>
      </c>
      <c r="I122" t="s">
        <v>23</v>
      </c>
      <c r="J122" t="s">
        <v>17</v>
      </c>
      <c r="K122" t="s">
        <v>206</v>
      </c>
    </row>
    <row r="123" spans="1:11" x14ac:dyDescent="0.2">
      <c r="A123">
        <v>6408</v>
      </c>
      <c r="B123" t="s">
        <v>147</v>
      </c>
      <c r="C123" t="s">
        <v>12</v>
      </c>
      <c r="D123" t="s">
        <v>12</v>
      </c>
      <c r="E123">
        <v>0</v>
      </c>
      <c r="F123" t="s">
        <v>392</v>
      </c>
      <c r="G123" t="s">
        <v>45</v>
      </c>
      <c r="H123" t="s">
        <v>85</v>
      </c>
      <c r="I123" t="s">
        <v>16</v>
      </c>
      <c r="J123" t="s">
        <v>88</v>
      </c>
      <c r="K123" t="s">
        <v>207</v>
      </c>
    </row>
    <row r="124" spans="1:11" x14ac:dyDescent="0.2">
      <c r="A124">
        <v>5300</v>
      </c>
      <c r="B124" t="s">
        <v>147</v>
      </c>
      <c r="C124" t="s">
        <v>12</v>
      </c>
      <c r="D124" t="s">
        <v>12</v>
      </c>
      <c r="E124">
        <v>0</v>
      </c>
      <c r="F124" t="s">
        <v>13</v>
      </c>
      <c r="G124" t="s">
        <v>29</v>
      </c>
      <c r="I124" t="s">
        <v>31</v>
      </c>
      <c r="J124" t="s">
        <v>88</v>
      </c>
      <c r="K124" t="s">
        <v>208</v>
      </c>
    </row>
    <row r="125" spans="1:11" x14ac:dyDescent="0.2">
      <c r="A125">
        <v>8232</v>
      </c>
      <c r="B125" t="s">
        <v>147</v>
      </c>
      <c r="C125" t="s">
        <v>12</v>
      </c>
      <c r="D125" t="s">
        <v>12</v>
      </c>
      <c r="E125">
        <v>0</v>
      </c>
      <c r="F125" t="s">
        <v>392</v>
      </c>
      <c r="G125" t="s">
        <v>45</v>
      </c>
      <c r="H125" t="s">
        <v>105</v>
      </c>
      <c r="I125" t="s">
        <v>52</v>
      </c>
      <c r="J125" t="s">
        <v>88</v>
      </c>
      <c r="K125" t="s">
        <v>209</v>
      </c>
    </row>
    <row r="126" spans="1:11" x14ac:dyDescent="0.2">
      <c r="A126">
        <v>5034</v>
      </c>
      <c r="B126" t="s">
        <v>147</v>
      </c>
      <c r="C126" t="s">
        <v>19</v>
      </c>
      <c r="D126" t="s">
        <v>19</v>
      </c>
      <c r="E126">
        <v>0</v>
      </c>
      <c r="F126" t="s">
        <v>394</v>
      </c>
      <c r="G126" t="s">
        <v>21</v>
      </c>
      <c r="I126" t="s">
        <v>26</v>
      </c>
      <c r="J126" t="s">
        <v>38</v>
      </c>
      <c r="K126" t="s">
        <v>196</v>
      </c>
    </row>
    <row r="127" spans="1:11" x14ac:dyDescent="0.2">
      <c r="A127">
        <v>1983</v>
      </c>
      <c r="B127" t="s">
        <v>147</v>
      </c>
      <c r="C127" t="s">
        <v>19</v>
      </c>
      <c r="D127" t="s">
        <v>20</v>
      </c>
      <c r="E127">
        <v>1</v>
      </c>
      <c r="F127" t="s">
        <v>392</v>
      </c>
      <c r="G127" t="s">
        <v>56</v>
      </c>
      <c r="H127" t="s">
        <v>210</v>
      </c>
      <c r="I127" t="s">
        <v>52</v>
      </c>
      <c r="J127" t="s">
        <v>24</v>
      </c>
      <c r="K127" t="s">
        <v>200</v>
      </c>
    </row>
    <row r="128" spans="1:11" x14ac:dyDescent="0.2">
      <c r="A128">
        <v>10181</v>
      </c>
      <c r="B128" t="s">
        <v>147</v>
      </c>
      <c r="C128" t="s">
        <v>12</v>
      </c>
      <c r="D128" t="s">
        <v>12</v>
      </c>
      <c r="E128">
        <v>0</v>
      </c>
      <c r="F128" t="s">
        <v>13</v>
      </c>
      <c r="G128" t="s">
        <v>29</v>
      </c>
      <c r="H128" t="s">
        <v>25</v>
      </c>
      <c r="I128" t="s">
        <v>65</v>
      </c>
      <c r="J128" t="s">
        <v>38</v>
      </c>
      <c r="K128" t="s">
        <v>211</v>
      </c>
    </row>
    <row r="129" spans="1:11" x14ac:dyDescent="0.2">
      <c r="A129">
        <v>5331</v>
      </c>
      <c r="B129" t="s">
        <v>147</v>
      </c>
      <c r="C129" t="s">
        <v>12</v>
      </c>
      <c r="D129" t="s">
        <v>20</v>
      </c>
      <c r="E129">
        <v>1</v>
      </c>
      <c r="F129" t="s">
        <v>392</v>
      </c>
      <c r="G129" t="s">
        <v>29</v>
      </c>
      <c r="I129" t="s">
        <v>31</v>
      </c>
      <c r="J129" t="s">
        <v>88</v>
      </c>
      <c r="K129" t="s">
        <v>212</v>
      </c>
    </row>
    <row r="130" spans="1:11" x14ac:dyDescent="0.2">
      <c r="A130">
        <v>2941</v>
      </c>
      <c r="B130" t="s">
        <v>147</v>
      </c>
      <c r="C130" t="s">
        <v>12</v>
      </c>
      <c r="D130" t="s">
        <v>12</v>
      </c>
      <c r="E130">
        <v>0</v>
      </c>
      <c r="F130" t="s">
        <v>394</v>
      </c>
      <c r="G130" t="s">
        <v>56</v>
      </c>
      <c r="I130" t="s">
        <v>37</v>
      </c>
      <c r="J130" t="s">
        <v>24</v>
      </c>
      <c r="K130" t="s">
        <v>213</v>
      </c>
    </row>
    <row r="131" spans="1:11" x14ac:dyDescent="0.2">
      <c r="A131">
        <v>2219</v>
      </c>
      <c r="B131" t="s">
        <v>147</v>
      </c>
      <c r="C131" t="s">
        <v>19</v>
      </c>
      <c r="D131" t="s">
        <v>20</v>
      </c>
      <c r="E131">
        <v>1</v>
      </c>
      <c r="F131" t="s">
        <v>392</v>
      </c>
      <c r="G131" t="s">
        <v>56</v>
      </c>
      <c r="H131" t="s">
        <v>49</v>
      </c>
      <c r="I131" t="s">
        <v>37</v>
      </c>
      <c r="J131" t="s">
        <v>24</v>
      </c>
      <c r="K131" t="s">
        <v>33</v>
      </c>
    </row>
    <row r="132" spans="1:11" x14ac:dyDescent="0.2">
      <c r="A132">
        <v>4277</v>
      </c>
      <c r="B132" t="s">
        <v>147</v>
      </c>
      <c r="C132" t="s">
        <v>12</v>
      </c>
      <c r="D132" t="s">
        <v>12</v>
      </c>
      <c r="E132">
        <v>0</v>
      </c>
      <c r="F132" t="s">
        <v>34</v>
      </c>
      <c r="G132" t="s">
        <v>37</v>
      </c>
      <c r="H132" t="s">
        <v>46</v>
      </c>
      <c r="I132" t="s">
        <v>52</v>
      </c>
      <c r="J132" t="s">
        <v>164</v>
      </c>
      <c r="K132" t="s">
        <v>35</v>
      </c>
    </row>
    <row r="133" spans="1:11" x14ac:dyDescent="0.2">
      <c r="A133">
        <v>8589</v>
      </c>
      <c r="B133" t="s">
        <v>147</v>
      </c>
      <c r="C133" t="s">
        <v>19</v>
      </c>
      <c r="D133" t="s">
        <v>20</v>
      </c>
      <c r="E133">
        <v>1</v>
      </c>
      <c r="F133" t="s">
        <v>392</v>
      </c>
      <c r="G133" t="s">
        <v>21</v>
      </c>
      <c r="H133" t="s">
        <v>49</v>
      </c>
      <c r="I133" t="s">
        <v>37</v>
      </c>
      <c r="J133" t="s">
        <v>24</v>
      </c>
      <c r="K133" t="s">
        <v>214</v>
      </c>
    </row>
    <row r="134" spans="1:11" x14ac:dyDescent="0.2">
      <c r="A134">
        <v>2326</v>
      </c>
      <c r="B134" t="s">
        <v>147</v>
      </c>
      <c r="C134" t="s">
        <v>12</v>
      </c>
      <c r="D134" t="s">
        <v>12</v>
      </c>
      <c r="E134">
        <v>0</v>
      </c>
      <c r="F134" t="s">
        <v>13</v>
      </c>
      <c r="G134" t="s">
        <v>14</v>
      </c>
      <c r="H134" t="s">
        <v>25</v>
      </c>
      <c r="I134" t="s">
        <v>26</v>
      </c>
      <c r="J134" t="s">
        <v>38</v>
      </c>
      <c r="K134" t="s">
        <v>215</v>
      </c>
    </row>
    <row r="135" spans="1:11" x14ac:dyDescent="0.2">
      <c r="A135">
        <v>3279</v>
      </c>
      <c r="B135" t="s">
        <v>147</v>
      </c>
      <c r="C135" t="s">
        <v>12</v>
      </c>
      <c r="D135" t="s">
        <v>12</v>
      </c>
      <c r="E135">
        <v>0</v>
      </c>
      <c r="F135" t="s">
        <v>34</v>
      </c>
      <c r="G135" t="s">
        <v>29</v>
      </c>
      <c r="H135" t="s">
        <v>51</v>
      </c>
      <c r="I135" t="s">
        <v>52</v>
      </c>
      <c r="J135" t="s">
        <v>17</v>
      </c>
      <c r="K135" t="s">
        <v>18</v>
      </c>
    </row>
    <row r="136" spans="1:11" x14ac:dyDescent="0.2">
      <c r="A136">
        <v>4838</v>
      </c>
      <c r="B136" t="s">
        <v>147</v>
      </c>
      <c r="C136" t="s">
        <v>19</v>
      </c>
      <c r="D136" t="s">
        <v>12</v>
      </c>
      <c r="E136">
        <v>1</v>
      </c>
      <c r="F136" t="s">
        <v>394</v>
      </c>
      <c r="G136" t="s">
        <v>21</v>
      </c>
      <c r="I136" t="s">
        <v>31</v>
      </c>
      <c r="J136" t="s">
        <v>24</v>
      </c>
      <c r="K136" t="s">
        <v>18</v>
      </c>
    </row>
    <row r="137" spans="1:11" x14ac:dyDescent="0.2">
      <c r="A137">
        <v>6629</v>
      </c>
      <c r="B137" t="s">
        <v>147</v>
      </c>
      <c r="C137" t="s">
        <v>12</v>
      </c>
      <c r="D137" t="s">
        <v>12</v>
      </c>
      <c r="E137">
        <v>0</v>
      </c>
      <c r="F137" t="s">
        <v>34</v>
      </c>
      <c r="G137" t="s">
        <v>56</v>
      </c>
      <c r="I137" t="s">
        <v>31</v>
      </c>
      <c r="J137" t="s">
        <v>164</v>
      </c>
      <c r="K137" t="s">
        <v>166</v>
      </c>
    </row>
    <row r="138" spans="1:11" x14ac:dyDescent="0.2">
      <c r="A138">
        <v>5148</v>
      </c>
      <c r="B138" t="s">
        <v>147</v>
      </c>
      <c r="C138" t="s">
        <v>19</v>
      </c>
      <c r="D138" t="s">
        <v>20</v>
      </c>
      <c r="E138">
        <v>1</v>
      </c>
      <c r="F138" t="s">
        <v>392</v>
      </c>
      <c r="G138" t="s">
        <v>21</v>
      </c>
      <c r="H138" t="s">
        <v>157</v>
      </c>
      <c r="I138" t="s">
        <v>37</v>
      </c>
      <c r="J138" t="s">
        <v>24</v>
      </c>
      <c r="K138" t="s">
        <v>50</v>
      </c>
    </row>
    <row r="139" spans="1:11" x14ac:dyDescent="0.2">
      <c r="A139">
        <v>8410</v>
      </c>
      <c r="B139" t="s">
        <v>147</v>
      </c>
      <c r="C139" t="s">
        <v>12</v>
      </c>
      <c r="D139" t="s">
        <v>12</v>
      </c>
      <c r="E139">
        <v>0</v>
      </c>
      <c r="F139" t="s">
        <v>13</v>
      </c>
      <c r="G139" t="s">
        <v>56</v>
      </c>
      <c r="H139" t="s">
        <v>57</v>
      </c>
      <c r="I139" t="s">
        <v>31</v>
      </c>
      <c r="J139" t="s">
        <v>17</v>
      </c>
      <c r="K139" t="s">
        <v>216</v>
      </c>
    </row>
    <row r="140" spans="1:11" x14ac:dyDescent="0.2">
      <c r="A140">
        <v>3346</v>
      </c>
      <c r="B140" t="s">
        <v>147</v>
      </c>
      <c r="C140" t="s">
        <v>19</v>
      </c>
      <c r="D140" t="s">
        <v>19</v>
      </c>
      <c r="E140">
        <v>0</v>
      </c>
      <c r="F140" t="s">
        <v>394</v>
      </c>
      <c r="G140" t="s">
        <v>21</v>
      </c>
      <c r="H140" t="s">
        <v>61</v>
      </c>
      <c r="I140" t="s">
        <v>31</v>
      </c>
      <c r="J140" t="s">
        <v>32</v>
      </c>
      <c r="K140" t="s">
        <v>217</v>
      </c>
    </row>
    <row r="141" spans="1:11" x14ac:dyDescent="0.2">
      <c r="A141">
        <v>2241</v>
      </c>
      <c r="B141" t="s">
        <v>147</v>
      </c>
      <c r="C141" t="s">
        <v>12</v>
      </c>
      <c r="D141" t="s">
        <v>12</v>
      </c>
      <c r="E141">
        <v>0</v>
      </c>
      <c r="F141" t="s">
        <v>394</v>
      </c>
      <c r="G141" t="s">
        <v>29</v>
      </c>
      <c r="H141" t="s">
        <v>81</v>
      </c>
      <c r="I141" t="s">
        <v>31</v>
      </c>
      <c r="J141" t="s">
        <v>32</v>
      </c>
      <c r="K141" t="s">
        <v>218</v>
      </c>
    </row>
    <row r="142" spans="1:11" x14ac:dyDescent="0.2">
      <c r="A142">
        <v>4280</v>
      </c>
      <c r="B142" t="s">
        <v>147</v>
      </c>
      <c r="C142" t="s">
        <v>12</v>
      </c>
      <c r="D142" t="s">
        <v>12</v>
      </c>
      <c r="E142">
        <v>0</v>
      </c>
      <c r="F142" t="s">
        <v>34</v>
      </c>
      <c r="G142" t="s">
        <v>56</v>
      </c>
      <c r="H142" t="s">
        <v>46</v>
      </c>
      <c r="I142" t="s">
        <v>52</v>
      </c>
      <c r="J142" t="s">
        <v>164</v>
      </c>
      <c r="K142" t="s">
        <v>35</v>
      </c>
    </row>
    <row r="143" spans="1:11" x14ac:dyDescent="0.2">
      <c r="A143">
        <v>4533</v>
      </c>
      <c r="B143" t="s">
        <v>147</v>
      </c>
      <c r="C143" t="s">
        <v>12</v>
      </c>
      <c r="D143" t="s">
        <v>12</v>
      </c>
      <c r="E143">
        <v>0</v>
      </c>
      <c r="F143" t="s">
        <v>34</v>
      </c>
      <c r="G143" t="s">
        <v>29</v>
      </c>
      <c r="H143" t="s">
        <v>30</v>
      </c>
      <c r="I143" t="s">
        <v>31</v>
      </c>
      <c r="J143" t="s">
        <v>32</v>
      </c>
      <c r="K143" t="s">
        <v>44</v>
      </c>
    </row>
    <row r="144" spans="1:11" x14ac:dyDescent="0.2">
      <c r="A144">
        <v>10174</v>
      </c>
      <c r="B144" t="s">
        <v>147</v>
      </c>
      <c r="C144" t="s">
        <v>12</v>
      </c>
      <c r="D144" t="s">
        <v>12</v>
      </c>
      <c r="E144">
        <v>0</v>
      </c>
      <c r="F144" t="s">
        <v>13</v>
      </c>
      <c r="G144" t="s">
        <v>29</v>
      </c>
      <c r="H144" t="s">
        <v>25</v>
      </c>
      <c r="I144" t="s">
        <v>26</v>
      </c>
      <c r="J144" t="s">
        <v>55</v>
      </c>
      <c r="K144" t="s">
        <v>70</v>
      </c>
    </row>
    <row r="145" spans="1:11" x14ac:dyDescent="0.2">
      <c r="A145">
        <v>837</v>
      </c>
      <c r="B145" t="s">
        <v>147</v>
      </c>
      <c r="C145" t="s">
        <v>19</v>
      </c>
      <c r="D145" t="s">
        <v>20</v>
      </c>
      <c r="E145">
        <v>1</v>
      </c>
      <c r="F145" t="s">
        <v>392</v>
      </c>
      <c r="G145" t="s">
        <v>21</v>
      </c>
      <c r="H145" t="s">
        <v>49</v>
      </c>
      <c r="I145" t="s">
        <v>37</v>
      </c>
      <c r="J145" t="s">
        <v>24</v>
      </c>
      <c r="K145" t="s">
        <v>65</v>
      </c>
    </row>
    <row r="146" spans="1:11" x14ac:dyDescent="0.2">
      <c r="A146">
        <v>8425</v>
      </c>
      <c r="B146" t="s">
        <v>147</v>
      </c>
      <c r="C146" t="s">
        <v>12</v>
      </c>
      <c r="D146" t="s">
        <v>12</v>
      </c>
      <c r="E146">
        <v>0</v>
      </c>
      <c r="F146" t="s">
        <v>34</v>
      </c>
      <c r="G146" t="s">
        <v>37</v>
      </c>
      <c r="H146" t="s">
        <v>190</v>
      </c>
      <c r="I146" t="s">
        <v>31</v>
      </c>
      <c r="J146" t="s">
        <v>17</v>
      </c>
      <c r="K146" t="s">
        <v>219</v>
      </c>
    </row>
    <row r="147" spans="1:11" x14ac:dyDescent="0.2">
      <c r="A147">
        <v>3857</v>
      </c>
      <c r="B147" t="s">
        <v>147</v>
      </c>
      <c r="C147" t="s">
        <v>19</v>
      </c>
      <c r="D147" t="s">
        <v>20</v>
      </c>
      <c r="E147">
        <v>1</v>
      </c>
      <c r="F147" t="s">
        <v>392</v>
      </c>
      <c r="G147" t="s">
        <v>21</v>
      </c>
      <c r="H147" t="s">
        <v>121</v>
      </c>
      <c r="I147" t="s">
        <v>43</v>
      </c>
      <c r="J147" t="s">
        <v>24</v>
      </c>
      <c r="K147" t="s">
        <v>220</v>
      </c>
    </row>
    <row r="148" spans="1:11" x14ac:dyDescent="0.2">
      <c r="A148">
        <v>5178</v>
      </c>
      <c r="B148" t="s">
        <v>147</v>
      </c>
      <c r="C148" t="s">
        <v>19</v>
      </c>
      <c r="D148" t="s">
        <v>12</v>
      </c>
      <c r="E148">
        <v>1</v>
      </c>
      <c r="F148" t="s">
        <v>394</v>
      </c>
      <c r="G148" t="s">
        <v>21</v>
      </c>
      <c r="H148" t="s">
        <v>61</v>
      </c>
      <c r="I148" t="s">
        <v>31</v>
      </c>
      <c r="J148" t="s">
        <v>32</v>
      </c>
      <c r="K148" t="s">
        <v>221</v>
      </c>
    </row>
    <row r="149" spans="1:11" x14ac:dyDescent="0.2">
      <c r="A149">
        <v>1955</v>
      </c>
      <c r="B149" t="s">
        <v>147</v>
      </c>
      <c r="C149" t="s">
        <v>12</v>
      </c>
      <c r="D149" t="s">
        <v>20</v>
      </c>
      <c r="E149">
        <v>1</v>
      </c>
      <c r="F149" t="s">
        <v>392</v>
      </c>
      <c r="G149" t="s">
        <v>14</v>
      </c>
      <c r="H149" t="s">
        <v>81</v>
      </c>
      <c r="I149" t="s">
        <v>31</v>
      </c>
      <c r="J149" t="s">
        <v>24</v>
      </c>
      <c r="K149" t="s">
        <v>222</v>
      </c>
    </row>
    <row r="150" spans="1:11" x14ac:dyDescent="0.2">
      <c r="A150">
        <v>2086</v>
      </c>
      <c r="B150" t="s">
        <v>147</v>
      </c>
      <c r="C150" t="s">
        <v>12</v>
      </c>
      <c r="D150" t="s">
        <v>12</v>
      </c>
      <c r="E150">
        <v>0</v>
      </c>
      <c r="F150" t="s">
        <v>394</v>
      </c>
      <c r="G150" t="s">
        <v>37</v>
      </c>
      <c r="I150" t="s">
        <v>26</v>
      </c>
      <c r="J150" t="s">
        <v>65</v>
      </c>
      <c r="K150" t="s">
        <v>223</v>
      </c>
    </row>
    <row r="151" spans="1:11" x14ac:dyDescent="0.2">
      <c r="A151">
        <v>6382</v>
      </c>
      <c r="B151" t="s">
        <v>147</v>
      </c>
      <c r="C151" t="s">
        <v>12</v>
      </c>
      <c r="D151" t="s">
        <v>20</v>
      </c>
      <c r="E151">
        <v>1</v>
      </c>
      <c r="F151" t="s">
        <v>392</v>
      </c>
      <c r="G151" t="s">
        <v>56</v>
      </c>
      <c r="I151" t="s">
        <v>37</v>
      </c>
      <c r="J151" t="s">
        <v>24</v>
      </c>
      <c r="K151" t="s">
        <v>17</v>
      </c>
    </row>
    <row r="152" spans="1:11" x14ac:dyDescent="0.2">
      <c r="A152">
        <v>3146</v>
      </c>
      <c r="B152" t="s">
        <v>147</v>
      </c>
      <c r="C152" t="s">
        <v>12</v>
      </c>
      <c r="D152" t="s">
        <v>12</v>
      </c>
      <c r="E152">
        <v>0</v>
      </c>
      <c r="F152" t="s">
        <v>394</v>
      </c>
      <c r="G152" t="s">
        <v>14</v>
      </c>
      <c r="I152" t="s">
        <v>37</v>
      </c>
      <c r="J152" t="s">
        <v>24</v>
      </c>
      <c r="K152" t="s">
        <v>196</v>
      </c>
    </row>
    <row r="153" spans="1:11" x14ac:dyDescent="0.2">
      <c r="A153">
        <v>5893</v>
      </c>
      <c r="B153" t="s">
        <v>147</v>
      </c>
      <c r="C153" t="s">
        <v>12</v>
      </c>
      <c r="D153" t="s">
        <v>12</v>
      </c>
      <c r="E153">
        <v>0</v>
      </c>
      <c r="F153" t="s">
        <v>34</v>
      </c>
      <c r="G153" t="s">
        <v>56</v>
      </c>
      <c r="I153" t="s">
        <v>52</v>
      </c>
      <c r="J153" t="s">
        <v>17</v>
      </c>
      <c r="K153" t="s">
        <v>224</v>
      </c>
    </row>
    <row r="154" spans="1:11" x14ac:dyDescent="0.2">
      <c r="A154">
        <v>10177</v>
      </c>
      <c r="B154" t="s">
        <v>147</v>
      </c>
      <c r="C154" t="s">
        <v>12</v>
      </c>
      <c r="D154" t="s">
        <v>12</v>
      </c>
      <c r="E154">
        <v>0</v>
      </c>
      <c r="F154" t="s">
        <v>13</v>
      </c>
      <c r="G154" t="s">
        <v>29</v>
      </c>
      <c r="H154" t="s">
        <v>25</v>
      </c>
      <c r="I154" t="s">
        <v>37</v>
      </c>
      <c r="J154" t="s">
        <v>38</v>
      </c>
      <c r="K154" t="s">
        <v>123</v>
      </c>
    </row>
    <row r="155" spans="1:11" x14ac:dyDescent="0.2">
      <c r="A155">
        <v>6126</v>
      </c>
      <c r="B155" t="s">
        <v>147</v>
      </c>
      <c r="C155" t="s">
        <v>19</v>
      </c>
      <c r="D155" t="s">
        <v>20</v>
      </c>
      <c r="E155">
        <v>1</v>
      </c>
      <c r="F155" t="s">
        <v>392</v>
      </c>
      <c r="G155" t="s">
        <v>37</v>
      </c>
      <c r="H155" t="s">
        <v>157</v>
      </c>
      <c r="I155" t="s">
        <v>37</v>
      </c>
      <c r="J155" t="s">
        <v>24</v>
      </c>
      <c r="K155" t="s">
        <v>152</v>
      </c>
    </row>
    <row r="156" spans="1:11" x14ac:dyDescent="0.2">
      <c r="A156">
        <v>1943</v>
      </c>
      <c r="B156" t="s">
        <v>147</v>
      </c>
      <c r="C156" t="s">
        <v>19</v>
      </c>
      <c r="D156" t="s">
        <v>19</v>
      </c>
      <c r="E156">
        <v>0</v>
      </c>
      <c r="F156" t="s">
        <v>394</v>
      </c>
      <c r="G156" t="s">
        <v>21</v>
      </c>
      <c r="H156" t="s">
        <v>190</v>
      </c>
      <c r="I156" t="s">
        <v>31</v>
      </c>
      <c r="J156" t="s">
        <v>38</v>
      </c>
      <c r="K156" t="s">
        <v>66</v>
      </c>
    </row>
    <row r="157" spans="1:11" x14ac:dyDescent="0.2">
      <c r="A157">
        <v>6413</v>
      </c>
      <c r="B157" t="s">
        <v>147</v>
      </c>
      <c r="C157" t="s">
        <v>12</v>
      </c>
      <c r="D157" t="s">
        <v>12</v>
      </c>
      <c r="E157">
        <v>0</v>
      </c>
      <c r="F157" t="s">
        <v>394</v>
      </c>
      <c r="G157" t="s">
        <v>45</v>
      </c>
      <c r="H157" t="s">
        <v>121</v>
      </c>
      <c r="I157" t="s">
        <v>43</v>
      </c>
      <c r="J157" t="s">
        <v>88</v>
      </c>
      <c r="K157" t="s">
        <v>225</v>
      </c>
    </row>
    <row r="158" spans="1:11" x14ac:dyDescent="0.2">
      <c r="A158">
        <v>9293</v>
      </c>
      <c r="B158" t="s">
        <v>147</v>
      </c>
      <c r="C158" t="s">
        <v>12</v>
      </c>
      <c r="D158" t="s">
        <v>12</v>
      </c>
      <c r="E158">
        <v>0</v>
      </c>
      <c r="F158" t="s">
        <v>13</v>
      </c>
      <c r="G158" t="s">
        <v>21</v>
      </c>
      <c r="H158" t="s">
        <v>57</v>
      </c>
      <c r="I158" t="s">
        <v>31</v>
      </c>
      <c r="J158" t="s">
        <v>17</v>
      </c>
      <c r="K158" t="s">
        <v>226</v>
      </c>
    </row>
    <row r="159" spans="1:11" x14ac:dyDescent="0.2">
      <c r="A159">
        <v>1844</v>
      </c>
      <c r="B159" t="s">
        <v>147</v>
      </c>
      <c r="C159" t="s">
        <v>12</v>
      </c>
      <c r="D159" t="s">
        <v>12</v>
      </c>
      <c r="E159">
        <v>0</v>
      </c>
      <c r="F159" t="s">
        <v>13</v>
      </c>
      <c r="G159" t="s">
        <v>45</v>
      </c>
      <c r="H159" t="s">
        <v>81</v>
      </c>
      <c r="I159" t="s">
        <v>31</v>
      </c>
      <c r="J159" t="s">
        <v>32</v>
      </c>
      <c r="K159" t="s">
        <v>93</v>
      </c>
    </row>
    <row r="160" spans="1:11" x14ac:dyDescent="0.2">
      <c r="A160">
        <v>2483</v>
      </c>
      <c r="B160" t="s">
        <v>147</v>
      </c>
      <c r="C160" t="s">
        <v>19</v>
      </c>
      <c r="D160" t="s">
        <v>20</v>
      </c>
      <c r="E160">
        <v>1</v>
      </c>
      <c r="F160" t="s">
        <v>392</v>
      </c>
      <c r="G160" t="s">
        <v>56</v>
      </c>
      <c r="I160" t="s">
        <v>65</v>
      </c>
      <c r="J160" t="s">
        <v>24</v>
      </c>
      <c r="K160" t="s">
        <v>83</v>
      </c>
    </row>
    <row r="161" spans="1:11" x14ac:dyDescent="0.2">
      <c r="A161">
        <v>6007</v>
      </c>
      <c r="B161" t="s">
        <v>147</v>
      </c>
      <c r="C161" t="s">
        <v>12</v>
      </c>
      <c r="D161" t="s">
        <v>12</v>
      </c>
      <c r="E161">
        <v>0</v>
      </c>
      <c r="F161" t="s">
        <v>392</v>
      </c>
      <c r="G161" t="s">
        <v>29</v>
      </c>
      <c r="I161" t="s">
        <v>31</v>
      </c>
      <c r="J161" t="s">
        <v>24</v>
      </c>
      <c r="K161" t="s">
        <v>24</v>
      </c>
    </row>
    <row r="162" spans="1:11" x14ac:dyDescent="0.2">
      <c r="A162">
        <v>5312</v>
      </c>
      <c r="B162" t="s">
        <v>147</v>
      </c>
      <c r="C162" t="s">
        <v>12</v>
      </c>
      <c r="D162" t="s">
        <v>20</v>
      </c>
      <c r="E162">
        <v>1</v>
      </c>
      <c r="F162" t="s">
        <v>392</v>
      </c>
      <c r="G162" t="s">
        <v>37</v>
      </c>
      <c r="H162" t="s">
        <v>61</v>
      </c>
      <c r="I162" t="s">
        <v>31</v>
      </c>
      <c r="J162" t="s">
        <v>88</v>
      </c>
      <c r="K162" t="s">
        <v>227</v>
      </c>
    </row>
    <row r="163" spans="1:11" x14ac:dyDescent="0.2">
      <c r="A163">
        <v>9456</v>
      </c>
      <c r="B163" t="s">
        <v>147</v>
      </c>
      <c r="C163" t="s">
        <v>12</v>
      </c>
      <c r="D163" t="s">
        <v>12</v>
      </c>
      <c r="E163">
        <v>0</v>
      </c>
      <c r="F163" t="s">
        <v>13</v>
      </c>
      <c r="G163" t="s">
        <v>29</v>
      </c>
      <c r="H163" t="s">
        <v>25</v>
      </c>
      <c r="I163" t="s">
        <v>37</v>
      </c>
      <c r="J163" t="s">
        <v>38</v>
      </c>
      <c r="K163" t="s">
        <v>197</v>
      </c>
    </row>
    <row r="164" spans="1:11" x14ac:dyDescent="0.2">
      <c r="A164">
        <v>9745</v>
      </c>
      <c r="B164" t="s">
        <v>147</v>
      </c>
      <c r="C164" t="s">
        <v>12</v>
      </c>
      <c r="D164" t="s">
        <v>12</v>
      </c>
      <c r="E164">
        <v>0</v>
      </c>
      <c r="F164" t="s">
        <v>13</v>
      </c>
      <c r="G164" t="s">
        <v>14</v>
      </c>
      <c r="H164" t="s">
        <v>74</v>
      </c>
      <c r="I164" t="s">
        <v>37</v>
      </c>
      <c r="J164" t="s">
        <v>38</v>
      </c>
      <c r="K164" t="s">
        <v>228</v>
      </c>
    </row>
    <row r="165" spans="1:11" x14ac:dyDescent="0.2">
      <c r="A165">
        <v>4750</v>
      </c>
      <c r="B165" t="s">
        <v>147</v>
      </c>
      <c r="C165" t="s">
        <v>12</v>
      </c>
      <c r="D165" t="s">
        <v>12</v>
      </c>
      <c r="E165">
        <v>0</v>
      </c>
      <c r="F165" t="s">
        <v>13</v>
      </c>
      <c r="G165" t="s">
        <v>45</v>
      </c>
      <c r="H165" t="s">
        <v>61</v>
      </c>
      <c r="I165" t="s">
        <v>31</v>
      </c>
      <c r="J165" t="s">
        <v>88</v>
      </c>
      <c r="K165" t="s">
        <v>229</v>
      </c>
    </row>
    <row r="166" spans="1:11" x14ac:dyDescent="0.2">
      <c r="A166">
        <v>6522</v>
      </c>
      <c r="B166" t="s">
        <v>147</v>
      </c>
      <c r="C166" t="s">
        <v>12</v>
      </c>
      <c r="D166" t="s">
        <v>20</v>
      </c>
      <c r="E166">
        <v>1</v>
      </c>
      <c r="F166" t="s">
        <v>392</v>
      </c>
      <c r="G166" t="s">
        <v>14</v>
      </c>
      <c r="I166" t="s">
        <v>37</v>
      </c>
      <c r="J166" t="s">
        <v>24</v>
      </c>
      <c r="K166" t="s">
        <v>83</v>
      </c>
    </row>
    <row r="167" spans="1:11" x14ac:dyDescent="0.2">
      <c r="A167">
        <v>2343</v>
      </c>
      <c r="B167" t="s">
        <v>147</v>
      </c>
      <c r="C167" t="s">
        <v>19</v>
      </c>
      <c r="D167" t="s">
        <v>20</v>
      </c>
      <c r="E167">
        <v>1</v>
      </c>
      <c r="F167" t="s">
        <v>392</v>
      </c>
      <c r="G167" t="s">
        <v>21</v>
      </c>
      <c r="H167" t="s">
        <v>133</v>
      </c>
      <c r="I167" t="s">
        <v>23</v>
      </c>
      <c r="J167" t="s">
        <v>24</v>
      </c>
      <c r="K167" t="s">
        <v>24</v>
      </c>
    </row>
    <row r="168" spans="1:11" x14ac:dyDescent="0.2">
      <c r="A168">
        <v>9730</v>
      </c>
      <c r="B168" t="s">
        <v>147</v>
      </c>
      <c r="C168" t="s">
        <v>12</v>
      </c>
      <c r="D168" t="s">
        <v>12</v>
      </c>
      <c r="E168">
        <v>0</v>
      </c>
      <c r="F168" t="s">
        <v>13</v>
      </c>
      <c r="G168" t="s">
        <v>29</v>
      </c>
      <c r="I168" t="s">
        <v>37</v>
      </c>
      <c r="J168" t="s">
        <v>38</v>
      </c>
      <c r="K168" t="s">
        <v>66</v>
      </c>
    </row>
    <row r="169" spans="1:11" x14ac:dyDescent="0.2">
      <c r="A169">
        <v>2000</v>
      </c>
      <c r="B169" t="s">
        <v>147</v>
      </c>
      <c r="C169" t="s">
        <v>19</v>
      </c>
      <c r="D169" t="s">
        <v>20</v>
      </c>
      <c r="E169">
        <v>1</v>
      </c>
      <c r="F169" t="s">
        <v>392</v>
      </c>
      <c r="G169" t="s">
        <v>56</v>
      </c>
      <c r="H169" t="s">
        <v>84</v>
      </c>
      <c r="I169" t="s">
        <v>23</v>
      </c>
      <c r="J169" t="s">
        <v>24</v>
      </c>
      <c r="K169" t="s">
        <v>48</v>
      </c>
    </row>
    <row r="170" spans="1:11" x14ac:dyDescent="0.2">
      <c r="A170">
        <v>3329</v>
      </c>
      <c r="B170" t="s">
        <v>147</v>
      </c>
      <c r="C170" t="s">
        <v>12</v>
      </c>
      <c r="D170" t="s">
        <v>20</v>
      </c>
      <c r="E170">
        <v>1</v>
      </c>
      <c r="F170" t="s">
        <v>392</v>
      </c>
      <c r="G170" t="s">
        <v>21</v>
      </c>
      <c r="H170" t="s">
        <v>186</v>
      </c>
      <c r="I170" t="s">
        <v>26</v>
      </c>
      <c r="J170" t="s">
        <v>32</v>
      </c>
      <c r="K170" t="s">
        <v>38</v>
      </c>
    </row>
    <row r="171" spans="1:11" x14ac:dyDescent="0.2">
      <c r="A171">
        <v>7837</v>
      </c>
      <c r="B171" t="s">
        <v>147</v>
      </c>
      <c r="C171" t="s">
        <v>12</v>
      </c>
      <c r="D171" t="s">
        <v>12</v>
      </c>
      <c r="E171">
        <v>0</v>
      </c>
      <c r="F171" t="s">
        <v>392</v>
      </c>
      <c r="G171" t="s">
        <v>37</v>
      </c>
      <c r="I171" t="s">
        <v>31</v>
      </c>
      <c r="J171" t="s">
        <v>24</v>
      </c>
      <c r="K171" t="s">
        <v>155</v>
      </c>
    </row>
    <row r="172" spans="1:11" x14ac:dyDescent="0.2">
      <c r="A172">
        <v>8919</v>
      </c>
      <c r="B172" t="s">
        <v>147</v>
      </c>
      <c r="C172" t="s">
        <v>19</v>
      </c>
      <c r="D172" t="s">
        <v>20</v>
      </c>
      <c r="E172">
        <v>1</v>
      </c>
      <c r="F172" t="s">
        <v>392</v>
      </c>
      <c r="G172" t="s">
        <v>21</v>
      </c>
      <c r="H172" t="s">
        <v>113</v>
      </c>
      <c r="I172" t="s">
        <v>16</v>
      </c>
      <c r="J172" t="s">
        <v>24</v>
      </c>
      <c r="K172" t="s">
        <v>201</v>
      </c>
    </row>
    <row r="173" spans="1:11" x14ac:dyDescent="0.2">
      <c r="A173">
        <v>10164</v>
      </c>
      <c r="B173" t="s">
        <v>147</v>
      </c>
      <c r="C173" t="s">
        <v>12</v>
      </c>
      <c r="D173" t="s">
        <v>12</v>
      </c>
      <c r="E173">
        <v>0</v>
      </c>
      <c r="F173" t="s">
        <v>13</v>
      </c>
      <c r="G173" t="s">
        <v>37</v>
      </c>
      <c r="H173" t="s">
        <v>25</v>
      </c>
      <c r="I173" t="s">
        <v>65</v>
      </c>
      <c r="J173" t="s">
        <v>27</v>
      </c>
      <c r="K173" t="s">
        <v>230</v>
      </c>
    </row>
    <row r="174" spans="1:11" x14ac:dyDescent="0.2">
      <c r="A174">
        <v>4086</v>
      </c>
      <c r="B174" t="s">
        <v>147</v>
      </c>
      <c r="C174" t="s">
        <v>19</v>
      </c>
      <c r="D174" t="s">
        <v>19</v>
      </c>
      <c r="E174">
        <v>0</v>
      </c>
      <c r="F174" t="s">
        <v>394</v>
      </c>
      <c r="G174" t="s">
        <v>21</v>
      </c>
      <c r="H174" t="s">
        <v>91</v>
      </c>
      <c r="I174" t="s">
        <v>26</v>
      </c>
      <c r="J174" t="s">
        <v>32</v>
      </c>
      <c r="K174" t="s">
        <v>178</v>
      </c>
    </row>
    <row r="175" spans="1:11" x14ac:dyDescent="0.2">
      <c r="A175">
        <v>10166</v>
      </c>
      <c r="B175" t="s">
        <v>147</v>
      </c>
      <c r="C175" t="s">
        <v>12</v>
      </c>
      <c r="D175" t="s">
        <v>12</v>
      </c>
      <c r="E175">
        <v>0</v>
      </c>
      <c r="F175" t="s">
        <v>13</v>
      </c>
      <c r="G175" t="s">
        <v>29</v>
      </c>
      <c r="H175" t="s">
        <v>25</v>
      </c>
      <c r="I175" t="s">
        <v>37</v>
      </c>
      <c r="J175" t="s">
        <v>32</v>
      </c>
      <c r="K175" t="s">
        <v>231</v>
      </c>
    </row>
    <row r="176" spans="1:11" x14ac:dyDescent="0.2">
      <c r="A176">
        <v>10014</v>
      </c>
      <c r="B176" t="s">
        <v>147</v>
      </c>
      <c r="C176" t="s">
        <v>12</v>
      </c>
      <c r="D176" t="s">
        <v>12</v>
      </c>
      <c r="E176">
        <v>0</v>
      </c>
      <c r="F176" t="s">
        <v>13</v>
      </c>
      <c r="G176" t="s">
        <v>29</v>
      </c>
      <c r="H176" t="s">
        <v>25</v>
      </c>
      <c r="I176" t="s">
        <v>26</v>
      </c>
      <c r="J176" t="s">
        <v>38</v>
      </c>
      <c r="K176" t="s">
        <v>124</v>
      </c>
    </row>
    <row r="177" spans="1:11" x14ac:dyDescent="0.2">
      <c r="A177">
        <v>6026</v>
      </c>
      <c r="B177" t="s">
        <v>147</v>
      </c>
      <c r="C177" t="s">
        <v>12</v>
      </c>
      <c r="D177" t="s">
        <v>12</v>
      </c>
      <c r="E177">
        <v>0</v>
      </c>
      <c r="F177" t="s">
        <v>13</v>
      </c>
      <c r="G177" t="s">
        <v>14</v>
      </c>
      <c r="H177" t="s">
        <v>51</v>
      </c>
      <c r="I177" t="s">
        <v>52</v>
      </c>
      <c r="J177" t="s">
        <v>24</v>
      </c>
      <c r="K177" t="s">
        <v>178</v>
      </c>
    </row>
    <row r="178" spans="1:11" x14ac:dyDescent="0.2">
      <c r="A178">
        <v>7788</v>
      </c>
      <c r="B178" t="s">
        <v>147</v>
      </c>
      <c r="C178" t="s">
        <v>12</v>
      </c>
      <c r="D178" t="s">
        <v>20</v>
      </c>
      <c r="E178">
        <v>1</v>
      </c>
      <c r="F178" t="s">
        <v>392</v>
      </c>
      <c r="G178" t="s">
        <v>56</v>
      </c>
      <c r="I178" t="s">
        <v>37</v>
      </c>
      <c r="J178" t="s">
        <v>24</v>
      </c>
      <c r="K178" t="s">
        <v>164</v>
      </c>
    </row>
    <row r="179" spans="1:11" x14ac:dyDescent="0.2">
      <c r="A179">
        <v>273</v>
      </c>
      <c r="B179" t="s">
        <v>147</v>
      </c>
      <c r="C179" t="s">
        <v>19</v>
      </c>
      <c r="D179" t="s">
        <v>20</v>
      </c>
      <c r="E179">
        <v>1</v>
      </c>
      <c r="F179" t="s">
        <v>392</v>
      </c>
      <c r="G179" t="s">
        <v>21</v>
      </c>
      <c r="H179" t="s">
        <v>232</v>
      </c>
      <c r="I179" t="s">
        <v>23</v>
      </c>
      <c r="J179" t="s">
        <v>24</v>
      </c>
      <c r="K179" t="s">
        <v>41</v>
      </c>
    </row>
    <row r="180" spans="1:11" x14ac:dyDescent="0.2">
      <c r="A180">
        <v>3253</v>
      </c>
      <c r="B180" t="s">
        <v>147</v>
      </c>
      <c r="C180" t="s">
        <v>12</v>
      </c>
      <c r="D180" t="s">
        <v>20</v>
      </c>
      <c r="E180">
        <v>1</v>
      </c>
      <c r="F180" t="s">
        <v>392</v>
      </c>
      <c r="G180" t="s">
        <v>37</v>
      </c>
      <c r="I180" t="s">
        <v>37</v>
      </c>
      <c r="J180" t="s">
        <v>24</v>
      </c>
      <c r="K180" t="s">
        <v>233</v>
      </c>
    </row>
    <row r="181" spans="1:11" x14ac:dyDescent="0.2">
      <c r="A181">
        <v>1058</v>
      </c>
      <c r="B181" t="s">
        <v>147</v>
      </c>
      <c r="C181" t="s">
        <v>12</v>
      </c>
      <c r="D181" t="s">
        <v>20</v>
      </c>
      <c r="E181">
        <v>1</v>
      </c>
      <c r="F181" t="s">
        <v>392</v>
      </c>
      <c r="G181" t="s">
        <v>45</v>
      </c>
      <c r="H181" t="s">
        <v>128</v>
      </c>
      <c r="I181" t="s">
        <v>23</v>
      </c>
      <c r="J181" t="s">
        <v>88</v>
      </c>
      <c r="K181" t="s">
        <v>234</v>
      </c>
    </row>
    <row r="182" spans="1:11" x14ac:dyDescent="0.2">
      <c r="A182">
        <v>9561</v>
      </c>
      <c r="B182" t="s">
        <v>147</v>
      </c>
      <c r="C182" t="s">
        <v>19</v>
      </c>
      <c r="D182" t="s">
        <v>19</v>
      </c>
      <c r="E182">
        <v>0</v>
      </c>
      <c r="F182" t="s">
        <v>13</v>
      </c>
      <c r="G182" t="s">
        <v>21</v>
      </c>
      <c r="H182" t="s">
        <v>25</v>
      </c>
      <c r="I182" t="s">
        <v>26</v>
      </c>
      <c r="J182" t="s">
        <v>38</v>
      </c>
      <c r="K182" t="s">
        <v>196</v>
      </c>
    </row>
    <row r="183" spans="1:11" x14ac:dyDescent="0.2">
      <c r="A183">
        <v>2838</v>
      </c>
      <c r="B183" t="s">
        <v>147</v>
      </c>
      <c r="C183" t="s">
        <v>19</v>
      </c>
      <c r="D183" t="s">
        <v>19</v>
      </c>
      <c r="E183">
        <v>0</v>
      </c>
      <c r="F183" t="s">
        <v>394</v>
      </c>
      <c r="G183" t="s">
        <v>21</v>
      </c>
      <c r="H183" t="s">
        <v>58</v>
      </c>
      <c r="I183" t="s">
        <v>52</v>
      </c>
      <c r="J183" t="s">
        <v>65</v>
      </c>
      <c r="K183" t="s">
        <v>174</v>
      </c>
    </row>
    <row r="184" spans="1:11" x14ac:dyDescent="0.2">
      <c r="A184">
        <v>2180</v>
      </c>
      <c r="B184" t="s">
        <v>147</v>
      </c>
      <c r="C184" t="s">
        <v>12</v>
      </c>
      <c r="D184" t="s">
        <v>12</v>
      </c>
      <c r="E184">
        <v>0</v>
      </c>
      <c r="F184" t="s">
        <v>34</v>
      </c>
      <c r="G184" t="s">
        <v>29</v>
      </c>
      <c r="H184" t="s">
        <v>85</v>
      </c>
      <c r="I184" t="s">
        <v>52</v>
      </c>
      <c r="J184" t="s">
        <v>17</v>
      </c>
      <c r="K184" t="s">
        <v>63</v>
      </c>
    </row>
    <row r="185" spans="1:11" x14ac:dyDescent="0.2">
      <c r="A185">
        <v>8397</v>
      </c>
      <c r="B185" t="s">
        <v>147</v>
      </c>
      <c r="C185" t="s">
        <v>12</v>
      </c>
      <c r="D185" t="s">
        <v>12</v>
      </c>
      <c r="E185">
        <v>0</v>
      </c>
      <c r="F185" t="s">
        <v>13</v>
      </c>
      <c r="G185" t="s">
        <v>21</v>
      </c>
      <c r="H185" t="s">
        <v>57</v>
      </c>
      <c r="I185" t="s">
        <v>31</v>
      </c>
      <c r="J185" t="s">
        <v>17</v>
      </c>
      <c r="K185" t="s">
        <v>235</v>
      </c>
    </row>
    <row r="186" spans="1:11" x14ac:dyDescent="0.2">
      <c r="A186">
        <v>4136</v>
      </c>
      <c r="B186" t="s">
        <v>147</v>
      </c>
      <c r="C186" t="s">
        <v>12</v>
      </c>
      <c r="D186" t="s">
        <v>20</v>
      </c>
      <c r="E186">
        <v>1</v>
      </c>
      <c r="F186" t="s">
        <v>392</v>
      </c>
      <c r="G186" t="s">
        <v>21</v>
      </c>
      <c r="H186" t="s">
        <v>49</v>
      </c>
      <c r="I186" t="s">
        <v>37</v>
      </c>
      <c r="J186" t="s">
        <v>40</v>
      </c>
      <c r="K186" t="s">
        <v>24</v>
      </c>
    </row>
    <row r="187" spans="1:11" x14ac:dyDescent="0.2">
      <c r="A187">
        <v>2917</v>
      </c>
      <c r="B187" t="s">
        <v>147</v>
      </c>
      <c r="C187" t="s">
        <v>12</v>
      </c>
      <c r="D187" t="s">
        <v>20</v>
      </c>
      <c r="E187">
        <v>1</v>
      </c>
      <c r="F187" t="s">
        <v>392</v>
      </c>
      <c r="G187" t="s">
        <v>56</v>
      </c>
      <c r="H187" t="s">
        <v>49</v>
      </c>
      <c r="I187" t="s">
        <v>37</v>
      </c>
      <c r="J187" t="s">
        <v>24</v>
      </c>
      <c r="K187" t="s">
        <v>193</v>
      </c>
    </row>
    <row r="188" spans="1:11" x14ac:dyDescent="0.2">
      <c r="A188">
        <v>6737</v>
      </c>
      <c r="B188" t="s">
        <v>147</v>
      </c>
      <c r="C188" t="s">
        <v>12</v>
      </c>
      <c r="D188" t="s">
        <v>12</v>
      </c>
      <c r="E188">
        <v>0</v>
      </c>
      <c r="F188" t="s">
        <v>13</v>
      </c>
      <c r="G188" t="s">
        <v>29</v>
      </c>
      <c r="H188" t="s">
        <v>61</v>
      </c>
      <c r="I188" t="s">
        <v>31</v>
      </c>
      <c r="J188" t="s">
        <v>32</v>
      </c>
      <c r="K188" t="s">
        <v>66</v>
      </c>
    </row>
    <row r="189" spans="1:11" x14ac:dyDescent="0.2">
      <c r="A189">
        <v>9366</v>
      </c>
      <c r="B189" t="s">
        <v>147</v>
      </c>
      <c r="C189" t="s">
        <v>12</v>
      </c>
      <c r="D189" t="s">
        <v>12</v>
      </c>
      <c r="E189">
        <v>0</v>
      </c>
      <c r="F189" t="s">
        <v>13</v>
      </c>
      <c r="G189" t="s">
        <v>29</v>
      </c>
      <c r="H189" t="s">
        <v>25</v>
      </c>
      <c r="I189" t="s">
        <v>37</v>
      </c>
      <c r="J189" t="s">
        <v>38</v>
      </c>
      <c r="K189" t="s">
        <v>196</v>
      </c>
    </row>
    <row r="190" spans="1:11" x14ac:dyDescent="0.2">
      <c r="A190">
        <v>1758</v>
      </c>
      <c r="B190" t="s">
        <v>147</v>
      </c>
      <c r="C190" t="s">
        <v>12</v>
      </c>
      <c r="D190" t="s">
        <v>12</v>
      </c>
      <c r="E190">
        <v>0</v>
      </c>
      <c r="F190" t="s">
        <v>34</v>
      </c>
      <c r="G190" t="s">
        <v>56</v>
      </c>
      <c r="H190" t="s">
        <v>128</v>
      </c>
      <c r="I190" t="s">
        <v>23</v>
      </c>
      <c r="J190" t="s">
        <v>164</v>
      </c>
      <c r="K190" t="s">
        <v>183</v>
      </c>
    </row>
    <row r="191" spans="1:11" x14ac:dyDescent="0.2">
      <c r="A191">
        <v>3675</v>
      </c>
      <c r="B191" t="s">
        <v>147</v>
      </c>
      <c r="C191" t="s">
        <v>12</v>
      </c>
      <c r="D191" t="s">
        <v>12</v>
      </c>
      <c r="E191">
        <v>0</v>
      </c>
      <c r="F191" t="s">
        <v>392</v>
      </c>
      <c r="G191" t="s">
        <v>37</v>
      </c>
      <c r="H191" t="s">
        <v>46</v>
      </c>
      <c r="I191" t="s">
        <v>52</v>
      </c>
      <c r="J191" t="s">
        <v>40</v>
      </c>
      <c r="K191" t="s">
        <v>65</v>
      </c>
    </row>
    <row r="192" spans="1:11" x14ac:dyDescent="0.2">
      <c r="A192">
        <v>8509</v>
      </c>
      <c r="B192" t="s">
        <v>147</v>
      </c>
      <c r="C192" t="s">
        <v>12</v>
      </c>
      <c r="D192" t="s">
        <v>12</v>
      </c>
      <c r="E192">
        <v>0</v>
      </c>
      <c r="F192" t="s">
        <v>13</v>
      </c>
      <c r="G192" t="s">
        <v>21</v>
      </c>
      <c r="H192" t="s">
        <v>57</v>
      </c>
      <c r="I192" t="s">
        <v>31</v>
      </c>
      <c r="J192" t="s">
        <v>17</v>
      </c>
      <c r="K192" t="s">
        <v>226</v>
      </c>
    </row>
    <row r="193" spans="1:11" x14ac:dyDescent="0.2">
      <c r="A193">
        <v>10239</v>
      </c>
      <c r="B193" t="s">
        <v>147</v>
      </c>
      <c r="C193" t="s">
        <v>12</v>
      </c>
      <c r="D193" t="s">
        <v>12</v>
      </c>
      <c r="E193">
        <v>0</v>
      </c>
      <c r="F193" t="s">
        <v>34</v>
      </c>
      <c r="G193" t="s">
        <v>29</v>
      </c>
      <c r="I193" t="s">
        <v>52</v>
      </c>
      <c r="J193" t="s">
        <v>17</v>
      </c>
      <c r="K193" t="s">
        <v>35</v>
      </c>
    </row>
    <row r="194" spans="1:11" x14ac:dyDescent="0.2">
      <c r="A194">
        <v>3159</v>
      </c>
      <c r="B194" t="s">
        <v>147</v>
      </c>
      <c r="C194" t="s">
        <v>19</v>
      </c>
      <c r="D194" t="s">
        <v>12</v>
      </c>
      <c r="E194">
        <v>1</v>
      </c>
      <c r="F194" t="s">
        <v>34</v>
      </c>
      <c r="G194" t="s">
        <v>21</v>
      </c>
      <c r="I194" t="s">
        <v>52</v>
      </c>
      <c r="J194" t="s">
        <v>17</v>
      </c>
      <c r="K194" t="s">
        <v>236</v>
      </c>
    </row>
    <row r="195" spans="1:11" x14ac:dyDescent="0.2">
      <c r="A195">
        <v>3908</v>
      </c>
      <c r="B195" t="s">
        <v>147</v>
      </c>
      <c r="C195" t="s">
        <v>12</v>
      </c>
      <c r="D195" t="s">
        <v>12</v>
      </c>
      <c r="E195">
        <v>0</v>
      </c>
      <c r="F195" t="s">
        <v>13</v>
      </c>
      <c r="G195" t="s">
        <v>29</v>
      </c>
      <c r="H195" t="s">
        <v>49</v>
      </c>
      <c r="I195" t="s">
        <v>37</v>
      </c>
      <c r="J195" t="s">
        <v>55</v>
      </c>
      <c r="K195" t="s">
        <v>32</v>
      </c>
    </row>
    <row r="196" spans="1:11" x14ac:dyDescent="0.2">
      <c r="A196">
        <v>3968</v>
      </c>
      <c r="B196" t="s">
        <v>147</v>
      </c>
      <c r="C196" t="s">
        <v>12</v>
      </c>
      <c r="D196" t="s">
        <v>12</v>
      </c>
      <c r="E196">
        <v>0</v>
      </c>
      <c r="F196" t="s">
        <v>394</v>
      </c>
      <c r="G196" t="s">
        <v>14</v>
      </c>
      <c r="H196" t="s">
        <v>237</v>
      </c>
      <c r="I196" t="s">
        <v>26</v>
      </c>
      <c r="J196" t="s">
        <v>38</v>
      </c>
      <c r="K196" t="s">
        <v>178</v>
      </c>
    </row>
    <row r="197" spans="1:11" x14ac:dyDescent="0.2">
      <c r="A197">
        <v>10136</v>
      </c>
      <c r="B197" t="s">
        <v>147</v>
      </c>
      <c r="C197" t="s">
        <v>12</v>
      </c>
      <c r="D197" t="s">
        <v>20</v>
      </c>
      <c r="E197">
        <v>1</v>
      </c>
      <c r="F197" t="s">
        <v>392</v>
      </c>
      <c r="G197" t="s">
        <v>56</v>
      </c>
      <c r="I197" t="s">
        <v>37</v>
      </c>
      <c r="J197" t="s">
        <v>17</v>
      </c>
      <c r="K197" t="s">
        <v>160</v>
      </c>
    </row>
    <row r="198" spans="1:11" x14ac:dyDescent="0.2">
      <c r="A198">
        <v>2508</v>
      </c>
      <c r="B198" t="s">
        <v>147</v>
      </c>
      <c r="C198" t="s">
        <v>19</v>
      </c>
      <c r="D198" t="s">
        <v>19</v>
      </c>
      <c r="E198">
        <v>0</v>
      </c>
      <c r="F198" t="s">
        <v>394</v>
      </c>
      <c r="G198" t="s">
        <v>21</v>
      </c>
      <c r="H198" t="s">
        <v>57</v>
      </c>
      <c r="I198" t="s">
        <v>31</v>
      </c>
      <c r="J198" t="s">
        <v>38</v>
      </c>
      <c r="K198" t="s">
        <v>66</v>
      </c>
    </row>
    <row r="199" spans="1:11" x14ac:dyDescent="0.2">
      <c r="A199">
        <v>6988</v>
      </c>
      <c r="B199" t="s">
        <v>147</v>
      </c>
      <c r="C199" t="s">
        <v>12</v>
      </c>
      <c r="D199" t="s">
        <v>12</v>
      </c>
      <c r="E199">
        <v>0</v>
      </c>
      <c r="F199" t="s">
        <v>13</v>
      </c>
      <c r="G199" t="s">
        <v>14</v>
      </c>
      <c r="H199" t="s">
        <v>114</v>
      </c>
      <c r="I199" t="s">
        <v>23</v>
      </c>
      <c r="J199" t="s">
        <v>48</v>
      </c>
      <c r="K199" t="s">
        <v>238</v>
      </c>
    </row>
    <row r="200" spans="1:11" x14ac:dyDescent="0.2">
      <c r="A200">
        <v>10151</v>
      </c>
      <c r="B200" t="s">
        <v>147</v>
      </c>
      <c r="C200" t="s">
        <v>12</v>
      </c>
      <c r="D200" t="s">
        <v>20</v>
      </c>
      <c r="E200">
        <v>1</v>
      </c>
      <c r="F200" t="s">
        <v>392</v>
      </c>
      <c r="G200" t="s">
        <v>37</v>
      </c>
      <c r="I200" t="s">
        <v>37</v>
      </c>
      <c r="J200" t="s">
        <v>24</v>
      </c>
      <c r="K200" t="s">
        <v>97</v>
      </c>
    </row>
    <row r="201" spans="1:11" x14ac:dyDescent="0.2">
      <c r="A201">
        <v>6168</v>
      </c>
      <c r="B201" t="s">
        <v>147</v>
      </c>
      <c r="C201" t="s">
        <v>12</v>
      </c>
      <c r="D201" t="s">
        <v>20</v>
      </c>
      <c r="E201">
        <v>1</v>
      </c>
      <c r="F201" t="s">
        <v>392</v>
      </c>
      <c r="G201" t="s">
        <v>21</v>
      </c>
      <c r="I201" t="s">
        <v>23</v>
      </c>
      <c r="J201" t="s">
        <v>24</v>
      </c>
      <c r="K201" t="s">
        <v>193</v>
      </c>
    </row>
    <row r="202" spans="1:11" x14ac:dyDescent="0.2">
      <c r="A202">
        <v>777</v>
      </c>
      <c r="B202" t="s">
        <v>147</v>
      </c>
      <c r="C202" t="s">
        <v>12</v>
      </c>
      <c r="D202" t="s">
        <v>12</v>
      </c>
      <c r="E202">
        <v>0</v>
      </c>
      <c r="F202" t="s">
        <v>13</v>
      </c>
      <c r="G202" t="s">
        <v>56</v>
      </c>
      <c r="H202" t="s">
        <v>51</v>
      </c>
      <c r="I202" t="s">
        <v>52</v>
      </c>
      <c r="J202" t="s">
        <v>32</v>
      </c>
      <c r="K202" t="s">
        <v>90</v>
      </c>
    </row>
    <row r="203" spans="1:11" x14ac:dyDescent="0.2">
      <c r="A203">
        <v>2522</v>
      </c>
      <c r="B203" t="s">
        <v>147</v>
      </c>
      <c r="C203" t="s">
        <v>12</v>
      </c>
      <c r="D203" t="s">
        <v>12</v>
      </c>
      <c r="E203">
        <v>0</v>
      </c>
      <c r="F203" t="s">
        <v>13</v>
      </c>
      <c r="G203" t="s">
        <v>29</v>
      </c>
      <c r="H203" t="s">
        <v>81</v>
      </c>
      <c r="I203" t="s">
        <v>31</v>
      </c>
      <c r="J203" t="s">
        <v>32</v>
      </c>
      <c r="K203" t="s">
        <v>80</v>
      </c>
    </row>
    <row r="204" spans="1:11" x14ac:dyDescent="0.2">
      <c r="A204">
        <v>1485</v>
      </c>
      <c r="B204" t="s">
        <v>147</v>
      </c>
      <c r="C204" t="s">
        <v>12</v>
      </c>
      <c r="D204" t="s">
        <v>12</v>
      </c>
      <c r="E204">
        <v>0</v>
      </c>
      <c r="F204" t="s">
        <v>13</v>
      </c>
      <c r="G204" t="s">
        <v>14</v>
      </c>
      <c r="I204" t="s">
        <v>52</v>
      </c>
      <c r="J204" t="s">
        <v>48</v>
      </c>
      <c r="K204" t="s">
        <v>239</v>
      </c>
    </row>
    <row r="205" spans="1:11" x14ac:dyDescent="0.2">
      <c r="A205">
        <v>9447</v>
      </c>
      <c r="B205" t="s">
        <v>147</v>
      </c>
      <c r="C205" t="s">
        <v>12</v>
      </c>
      <c r="D205" t="s">
        <v>12</v>
      </c>
      <c r="E205">
        <v>0</v>
      </c>
      <c r="F205" t="s">
        <v>13</v>
      </c>
      <c r="G205" t="s">
        <v>37</v>
      </c>
      <c r="H205" t="s">
        <v>25</v>
      </c>
      <c r="I205" t="s">
        <v>37</v>
      </c>
      <c r="J205" t="s">
        <v>38</v>
      </c>
      <c r="K205" t="s">
        <v>240</v>
      </c>
    </row>
    <row r="206" spans="1:11" x14ac:dyDescent="0.2">
      <c r="A206">
        <v>4865</v>
      </c>
      <c r="B206" t="s">
        <v>147</v>
      </c>
      <c r="C206" t="s">
        <v>19</v>
      </c>
      <c r="D206" t="s">
        <v>12</v>
      </c>
      <c r="E206">
        <v>1</v>
      </c>
      <c r="F206" t="s">
        <v>13</v>
      </c>
      <c r="G206" t="s">
        <v>21</v>
      </c>
      <c r="H206" t="s">
        <v>84</v>
      </c>
      <c r="I206" t="s">
        <v>23</v>
      </c>
      <c r="J206" t="s">
        <v>17</v>
      </c>
      <c r="K206" t="s">
        <v>241</v>
      </c>
    </row>
    <row r="207" spans="1:11" x14ac:dyDescent="0.2">
      <c r="A207">
        <v>5800</v>
      </c>
      <c r="B207" t="s">
        <v>147</v>
      </c>
      <c r="C207" t="s">
        <v>19</v>
      </c>
      <c r="D207" t="s">
        <v>19</v>
      </c>
      <c r="E207">
        <v>0</v>
      </c>
      <c r="F207" t="s">
        <v>392</v>
      </c>
      <c r="G207" t="s">
        <v>21</v>
      </c>
      <c r="H207" t="s">
        <v>242</v>
      </c>
      <c r="I207" t="s">
        <v>31</v>
      </c>
      <c r="J207" t="s">
        <v>24</v>
      </c>
      <c r="K207" t="s">
        <v>62</v>
      </c>
    </row>
    <row r="208" spans="1:11" x14ac:dyDescent="0.2">
      <c r="A208">
        <v>5476</v>
      </c>
      <c r="B208" t="s">
        <v>147</v>
      </c>
      <c r="C208" t="s">
        <v>12</v>
      </c>
      <c r="D208" t="s">
        <v>12</v>
      </c>
      <c r="E208">
        <v>0</v>
      </c>
      <c r="F208" t="s">
        <v>394</v>
      </c>
      <c r="G208" t="s">
        <v>14</v>
      </c>
      <c r="I208" t="s">
        <v>37</v>
      </c>
      <c r="J208" t="s">
        <v>24</v>
      </c>
      <c r="K208" t="s">
        <v>243</v>
      </c>
    </row>
    <row r="209" spans="1:11" x14ac:dyDescent="0.2">
      <c r="A209">
        <v>6315</v>
      </c>
      <c r="B209" t="s">
        <v>147</v>
      </c>
      <c r="C209" t="s">
        <v>19</v>
      </c>
      <c r="D209" t="s">
        <v>19</v>
      </c>
      <c r="E209">
        <v>0</v>
      </c>
      <c r="F209" t="s">
        <v>394</v>
      </c>
      <c r="G209" t="s">
        <v>21</v>
      </c>
      <c r="I209" t="s">
        <v>65</v>
      </c>
      <c r="J209" t="s">
        <v>164</v>
      </c>
      <c r="K209" t="s">
        <v>170</v>
      </c>
    </row>
    <row r="210" spans="1:11" x14ac:dyDescent="0.2">
      <c r="A210">
        <v>8159</v>
      </c>
      <c r="B210" t="s">
        <v>147</v>
      </c>
      <c r="C210" t="s">
        <v>12</v>
      </c>
      <c r="D210" t="s">
        <v>12</v>
      </c>
      <c r="E210">
        <v>0</v>
      </c>
      <c r="F210" t="s">
        <v>13</v>
      </c>
      <c r="G210" t="s">
        <v>29</v>
      </c>
      <c r="H210" t="s">
        <v>61</v>
      </c>
      <c r="I210" t="s">
        <v>31</v>
      </c>
      <c r="J210" t="s">
        <v>88</v>
      </c>
      <c r="K210" t="s">
        <v>244</v>
      </c>
    </row>
    <row r="211" spans="1:11" x14ac:dyDescent="0.2">
      <c r="A211">
        <v>1975</v>
      </c>
      <c r="B211" t="s">
        <v>147</v>
      </c>
      <c r="C211" t="s">
        <v>12</v>
      </c>
      <c r="D211" t="s">
        <v>12</v>
      </c>
      <c r="E211">
        <v>0</v>
      </c>
      <c r="F211" t="s">
        <v>13</v>
      </c>
      <c r="G211" t="s">
        <v>29</v>
      </c>
      <c r="H211" t="s">
        <v>67</v>
      </c>
      <c r="I211" t="s">
        <v>43</v>
      </c>
      <c r="J211" t="s">
        <v>32</v>
      </c>
      <c r="K211" t="s">
        <v>245</v>
      </c>
    </row>
    <row r="212" spans="1:11" x14ac:dyDescent="0.2">
      <c r="A212">
        <v>3570</v>
      </c>
      <c r="B212" t="s">
        <v>147</v>
      </c>
      <c r="C212" t="s">
        <v>19</v>
      </c>
      <c r="D212" t="s">
        <v>20</v>
      </c>
      <c r="E212">
        <v>1</v>
      </c>
      <c r="F212" t="s">
        <v>392</v>
      </c>
      <c r="G212" t="s">
        <v>21</v>
      </c>
      <c r="H212" t="s">
        <v>30</v>
      </c>
      <c r="I212" t="s">
        <v>31</v>
      </c>
      <c r="J212" t="s">
        <v>24</v>
      </c>
      <c r="K212" t="s">
        <v>40</v>
      </c>
    </row>
    <row r="213" spans="1:11" x14ac:dyDescent="0.2">
      <c r="A213">
        <v>10182</v>
      </c>
      <c r="B213" t="s">
        <v>147</v>
      </c>
      <c r="C213" t="s">
        <v>12</v>
      </c>
      <c r="D213" t="s">
        <v>12</v>
      </c>
      <c r="E213">
        <v>0</v>
      </c>
      <c r="F213" t="s">
        <v>13</v>
      </c>
      <c r="G213" t="s">
        <v>29</v>
      </c>
      <c r="H213" t="s">
        <v>25</v>
      </c>
      <c r="I213" t="s">
        <v>37</v>
      </c>
      <c r="J213" t="s">
        <v>38</v>
      </c>
      <c r="K213" t="s">
        <v>66</v>
      </c>
    </row>
    <row r="214" spans="1:11" x14ac:dyDescent="0.2">
      <c r="A214">
        <v>3377</v>
      </c>
      <c r="B214" t="s">
        <v>147</v>
      </c>
      <c r="C214" t="s">
        <v>12</v>
      </c>
      <c r="D214" t="s">
        <v>12</v>
      </c>
      <c r="E214">
        <v>0</v>
      </c>
      <c r="F214" t="s">
        <v>13</v>
      </c>
      <c r="G214" t="s">
        <v>37</v>
      </c>
      <c r="H214" t="s">
        <v>51</v>
      </c>
      <c r="I214" t="s">
        <v>52</v>
      </c>
      <c r="J214" t="s">
        <v>38</v>
      </c>
      <c r="K214" t="s">
        <v>246</v>
      </c>
    </row>
    <row r="215" spans="1:11" x14ac:dyDescent="0.2">
      <c r="A215">
        <v>264</v>
      </c>
      <c r="B215" t="s">
        <v>147</v>
      </c>
      <c r="C215" t="s">
        <v>19</v>
      </c>
      <c r="D215" t="s">
        <v>19</v>
      </c>
      <c r="E215">
        <v>0</v>
      </c>
      <c r="F215" t="s">
        <v>13</v>
      </c>
      <c r="G215" t="s">
        <v>21</v>
      </c>
      <c r="I215" t="s">
        <v>65</v>
      </c>
      <c r="J215" t="s">
        <v>32</v>
      </c>
      <c r="K215" t="s">
        <v>247</v>
      </c>
    </row>
    <row r="216" spans="1:11" x14ac:dyDescent="0.2">
      <c r="A216">
        <v>6613</v>
      </c>
      <c r="B216" t="s">
        <v>147</v>
      </c>
      <c r="C216" t="s">
        <v>12</v>
      </c>
      <c r="D216" t="s">
        <v>12</v>
      </c>
      <c r="E216">
        <v>0</v>
      </c>
      <c r="F216" t="s">
        <v>394</v>
      </c>
      <c r="G216" t="s">
        <v>56</v>
      </c>
      <c r="I216" t="s">
        <v>37</v>
      </c>
      <c r="J216" t="s">
        <v>17</v>
      </c>
      <c r="K216" t="s">
        <v>65</v>
      </c>
    </row>
    <row r="217" spans="1:11" x14ac:dyDescent="0.2">
      <c r="A217">
        <v>7995</v>
      </c>
      <c r="B217" t="s">
        <v>147</v>
      </c>
      <c r="C217" t="s">
        <v>19</v>
      </c>
      <c r="D217" t="s">
        <v>20</v>
      </c>
      <c r="E217">
        <v>1</v>
      </c>
      <c r="F217" t="s">
        <v>392</v>
      </c>
      <c r="G217" t="s">
        <v>21</v>
      </c>
      <c r="H217" t="s">
        <v>49</v>
      </c>
      <c r="I217" t="s">
        <v>37</v>
      </c>
      <c r="J217" t="s">
        <v>24</v>
      </c>
      <c r="K217" t="s">
        <v>201</v>
      </c>
    </row>
    <row r="218" spans="1:11" x14ac:dyDescent="0.2">
      <c r="A218">
        <v>6971</v>
      </c>
      <c r="B218" t="s">
        <v>147</v>
      </c>
      <c r="C218" t="s">
        <v>12</v>
      </c>
      <c r="D218" t="s">
        <v>12</v>
      </c>
      <c r="E218">
        <v>0</v>
      </c>
      <c r="F218" t="s">
        <v>13</v>
      </c>
      <c r="G218" t="s">
        <v>29</v>
      </c>
      <c r="H218" t="s">
        <v>113</v>
      </c>
      <c r="I218" t="s">
        <v>16</v>
      </c>
      <c r="J218" t="s">
        <v>88</v>
      </c>
      <c r="K218" t="s">
        <v>69</v>
      </c>
    </row>
    <row r="219" spans="1:11" x14ac:dyDescent="0.2">
      <c r="A219">
        <v>4653</v>
      </c>
      <c r="B219" t="s">
        <v>147</v>
      </c>
      <c r="C219" t="s">
        <v>12</v>
      </c>
      <c r="D219" t="s">
        <v>12</v>
      </c>
      <c r="E219">
        <v>0</v>
      </c>
      <c r="F219" t="s">
        <v>13</v>
      </c>
      <c r="G219" t="s">
        <v>29</v>
      </c>
      <c r="H219" t="s">
        <v>25</v>
      </c>
      <c r="I219" t="s">
        <v>37</v>
      </c>
      <c r="J219" t="s">
        <v>38</v>
      </c>
      <c r="K219" t="s">
        <v>248</v>
      </c>
    </row>
    <row r="220" spans="1:11" x14ac:dyDescent="0.2">
      <c r="A220">
        <v>4335</v>
      </c>
      <c r="B220" t="s">
        <v>147</v>
      </c>
      <c r="C220" t="s">
        <v>12</v>
      </c>
      <c r="D220" t="s">
        <v>12</v>
      </c>
      <c r="E220">
        <v>0</v>
      </c>
      <c r="F220" t="s">
        <v>394</v>
      </c>
      <c r="G220" t="s">
        <v>45</v>
      </c>
      <c r="H220" t="s">
        <v>30</v>
      </c>
      <c r="I220" t="s">
        <v>31</v>
      </c>
      <c r="J220" t="s">
        <v>88</v>
      </c>
      <c r="K220" t="s">
        <v>249</v>
      </c>
    </row>
    <row r="221" spans="1:11" x14ac:dyDescent="0.2">
      <c r="A221">
        <v>1915</v>
      </c>
      <c r="B221" t="s">
        <v>147</v>
      </c>
      <c r="C221" t="s">
        <v>12</v>
      </c>
      <c r="D221" t="s">
        <v>12</v>
      </c>
      <c r="E221">
        <v>0</v>
      </c>
      <c r="F221" t="s">
        <v>34</v>
      </c>
      <c r="G221" t="s">
        <v>14</v>
      </c>
      <c r="H221" t="s">
        <v>250</v>
      </c>
      <c r="I221" t="s">
        <v>31</v>
      </c>
      <c r="J221" t="s">
        <v>24</v>
      </c>
      <c r="K221" t="s">
        <v>189</v>
      </c>
    </row>
    <row r="222" spans="1:11" x14ac:dyDescent="0.2">
      <c r="A222">
        <v>8852</v>
      </c>
      <c r="B222" t="s">
        <v>147</v>
      </c>
      <c r="C222" t="s">
        <v>12</v>
      </c>
      <c r="D222" t="s">
        <v>12</v>
      </c>
      <c r="E222">
        <v>0</v>
      </c>
      <c r="F222" t="s">
        <v>13</v>
      </c>
      <c r="G222" t="s">
        <v>29</v>
      </c>
      <c r="H222" t="s">
        <v>57</v>
      </c>
      <c r="I222" t="s">
        <v>31</v>
      </c>
      <c r="J222" t="s">
        <v>17</v>
      </c>
      <c r="K222" t="s">
        <v>251</v>
      </c>
    </row>
    <row r="223" spans="1:11" x14ac:dyDescent="0.2">
      <c r="A223">
        <v>3273</v>
      </c>
      <c r="B223" t="s">
        <v>147</v>
      </c>
      <c r="C223" t="s">
        <v>12</v>
      </c>
      <c r="D223" t="s">
        <v>12</v>
      </c>
      <c r="E223">
        <v>0</v>
      </c>
      <c r="F223" t="s">
        <v>34</v>
      </c>
      <c r="G223" t="s">
        <v>29</v>
      </c>
      <c r="H223" t="s">
        <v>51</v>
      </c>
      <c r="I223" t="s">
        <v>52</v>
      </c>
      <c r="J223" t="s">
        <v>17</v>
      </c>
      <c r="K223" t="s">
        <v>252</v>
      </c>
    </row>
    <row r="224" spans="1:11" x14ac:dyDescent="0.2">
      <c r="A224">
        <v>5296</v>
      </c>
      <c r="B224" t="s">
        <v>147</v>
      </c>
      <c r="C224" t="s">
        <v>12</v>
      </c>
      <c r="D224" t="s">
        <v>12</v>
      </c>
      <c r="E224">
        <v>0</v>
      </c>
      <c r="F224" t="s">
        <v>13</v>
      </c>
      <c r="G224" t="s">
        <v>29</v>
      </c>
      <c r="H224" t="s">
        <v>61</v>
      </c>
      <c r="I224" t="s">
        <v>31</v>
      </c>
      <c r="J224" t="s">
        <v>32</v>
      </c>
      <c r="K224" t="s">
        <v>253</v>
      </c>
    </row>
    <row r="225" spans="1:11" x14ac:dyDescent="0.2">
      <c r="A225">
        <v>4746</v>
      </c>
      <c r="B225" t="s">
        <v>147</v>
      </c>
      <c r="C225" t="s">
        <v>12</v>
      </c>
      <c r="D225" t="s">
        <v>12</v>
      </c>
      <c r="E225">
        <v>0</v>
      </c>
      <c r="F225" t="s">
        <v>34</v>
      </c>
      <c r="G225" t="s">
        <v>56</v>
      </c>
      <c r="H225" t="s">
        <v>46</v>
      </c>
      <c r="I225" t="s">
        <v>52</v>
      </c>
      <c r="J225" t="s">
        <v>17</v>
      </c>
      <c r="K225" t="s">
        <v>193</v>
      </c>
    </row>
    <row r="226" spans="1:11" x14ac:dyDescent="0.2">
      <c r="A226">
        <v>5403</v>
      </c>
      <c r="B226" t="s">
        <v>147</v>
      </c>
      <c r="C226" t="s">
        <v>19</v>
      </c>
      <c r="D226" t="s">
        <v>19</v>
      </c>
      <c r="E226">
        <v>0</v>
      </c>
      <c r="F226" t="s">
        <v>34</v>
      </c>
      <c r="G226" t="s">
        <v>21</v>
      </c>
      <c r="H226" t="s">
        <v>58</v>
      </c>
      <c r="I226" t="s">
        <v>52</v>
      </c>
      <c r="J226" t="s">
        <v>164</v>
      </c>
      <c r="K226" t="s">
        <v>24</v>
      </c>
    </row>
    <row r="227" spans="1:11" x14ac:dyDescent="0.2">
      <c r="A227">
        <v>9506</v>
      </c>
      <c r="B227" t="s">
        <v>147</v>
      </c>
      <c r="C227" t="s">
        <v>12</v>
      </c>
      <c r="D227" t="s">
        <v>12</v>
      </c>
      <c r="E227">
        <v>0</v>
      </c>
      <c r="F227" t="s">
        <v>13</v>
      </c>
      <c r="G227" t="s">
        <v>109</v>
      </c>
      <c r="H227" t="s">
        <v>89</v>
      </c>
      <c r="I227" t="s">
        <v>31</v>
      </c>
      <c r="J227" t="s">
        <v>55</v>
      </c>
      <c r="K227" t="s">
        <v>254</v>
      </c>
    </row>
    <row r="228" spans="1:11" x14ac:dyDescent="0.2">
      <c r="A228">
        <v>2335</v>
      </c>
      <c r="B228" t="s">
        <v>147</v>
      </c>
      <c r="C228" t="s">
        <v>12</v>
      </c>
      <c r="D228" t="s">
        <v>12</v>
      </c>
      <c r="E228">
        <v>0</v>
      </c>
      <c r="F228" t="s">
        <v>394</v>
      </c>
      <c r="G228" t="s">
        <v>21</v>
      </c>
      <c r="H228" t="s">
        <v>61</v>
      </c>
      <c r="I228" t="s">
        <v>31</v>
      </c>
      <c r="J228" t="s">
        <v>88</v>
      </c>
      <c r="K228" t="s">
        <v>197</v>
      </c>
    </row>
    <row r="229" spans="1:11" x14ac:dyDescent="0.2">
      <c r="A229">
        <v>10168</v>
      </c>
      <c r="B229" t="s">
        <v>147</v>
      </c>
      <c r="C229" t="s">
        <v>12</v>
      </c>
      <c r="D229" t="s">
        <v>12</v>
      </c>
      <c r="E229">
        <v>0</v>
      </c>
      <c r="F229" t="s">
        <v>13</v>
      </c>
      <c r="G229" t="s">
        <v>29</v>
      </c>
      <c r="H229" t="s">
        <v>25</v>
      </c>
      <c r="I229" t="s">
        <v>37</v>
      </c>
      <c r="J229" t="s">
        <v>38</v>
      </c>
      <c r="K229" t="s">
        <v>117</v>
      </c>
    </row>
    <row r="230" spans="1:11" x14ac:dyDescent="0.2">
      <c r="A230">
        <v>6291</v>
      </c>
      <c r="B230" t="s">
        <v>147</v>
      </c>
      <c r="C230" t="s">
        <v>12</v>
      </c>
      <c r="D230" t="s">
        <v>12</v>
      </c>
      <c r="E230">
        <v>0</v>
      </c>
      <c r="F230" t="s">
        <v>394</v>
      </c>
      <c r="G230" t="s">
        <v>14</v>
      </c>
      <c r="I230" t="s">
        <v>23</v>
      </c>
      <c r="J230" t="s">
        <v>164</v>
      </c>
      <c r="K230" t="s">
        <v>255</v>
      </c>
    </row>
    <row r="231" spans="1:11" x14ac:dyDescent="0.2">
      <c r="A231">
        <v>2197</v>
      </c>
      <c r="B231" t="s">
        <v>147</v>
      </c>
      <c r="C231" t="s">
        <v>19</v>
      </c>
      <c r="D231" t="s">
        <v>20</v>
      </c>
      <c r="E231">
        <v>1</v>
      </c>
      <c r="F231" t="s">
        <v>392</v>
      </c>
      <c r="G231" t="s">
        <v>21</v>
      </c>
      <c r="I231" t="s">
        <v>37</v>
      </c>
      <c r="J231" t="s">
        <v>24</v>
      </c>
      <c r="K231" t="s">
        <v>83</v>
      </c>
    </row>
    <row r="232" spans="1:11" x14ac:dyDescent="0.2">
      <c r="A232">
        <v>9768</v>
      </c>
      <c r="B232" t="s">
        <v>147</v>
      </c>
      <c r="C232" t="s">
        <v>12</v>
      </c>
      <c r="D232" t="s">
        <v>12</v>
      </c>
      <c r="E232">
        <v>0</v>
      </c>
      <c r="F232" t="s">
        <v>13</v>
      </c>
      <c r="G232" t="s">
        <v>29</v>
      </c>
      <c r="H232" t="s">
        <v>25</v>
      </c>
      <c r="I232" t="s">
        <v>26</v>
      </c>
      <c r="J232" t="s">
        <v>32</v>
      </c>
      <c r="K232" t="s">
        <v>70</v>
      </c>
    </row>
    <row r="233" spans="1:11" x14ac:dyDescent="0.2">
      <c r="A233">
        <v>3522</v>
      </c>
      <c r="B233" t="s">
        <v>147</v>
      </c>
      <c r="C233" t="s">
        <v>12</v>
      </c>
      <c r="D233" t="s">
        <v>12</v>
      </c>
      <c r="E233">
        <v>0</v>
      </c>
      <c r="F233" t="s">
        <v>13</v>
      </c>
      <c r="G233" t="s">
        <v>29</v>
      </c>
      <c r="I233" t="s">
        <v>31</v>
      </c>
      <c r="J233" t="s">
        <v>38</v>
      </c>
      <c r="K233" t="s">
        <v>115</v>
      </c>
    </row>
    <row r="234" spans="1:11" x14ac:dyDescent="0.2">
      <c r="A234">
        <v>9444</v>
      </c>
      <c r="B234" t="s">
        <v>147</v>
      </c>
      <c r="C234" t="s">
        <v>12</v>
      </c>
      <c r="D234" t="s">
        <v>12</v>
      </c>
      <c r="E234">
        <v>0</v>
      </c>
      <c r="F234" t="s">
        <v>13</v>
      </c>
      <c r="G234" t="s">
        <v>29</v>
      </c>
      <c r="H234" t="s">
        <v>25</v>
      </c>
      <c r="I234" t="s">
        <v>37</v>
      </c>
      <c r="J234" t="s">
        <v>38</v>
      </c>
      <c r="K234" t="s">
        <v>256</v>
      </c>
    </row>
    <row r="235" spans="1:11" x14ac:dyDescent="0.2">
      <c r="A235">
        <v>1170</v>
      </c>
      <c r="B235" t="s">
        <v>147</v>
      </c>
      <c r="C235" t="s">
        <v>19</v>
      </c>
      <c r="D235" t="s">
        <v>20</v>
      </c>
      <c r="E235">
        <v>1</v>
      </c>
      <c r="F235" t="s">
        <v>392</v>
      </c>
      <c r="G235" t="s">
        <v>56</v>
      </c>
      <c r="H235" t="s">
        <v>82</v>
      </c>
      <c r="I235" t="s">
        <v>23</v>
      </c>
      <c r="J235" t="s">
        <v>32</v>
      </c>
      <c r="K235" t="s">
        <v>62</v>
      </c>
    </row>
    <row r="236" spans="1:11" x14ac:dyDescent="0.2">
      <c r="A236">
        <v>5333</v>
      </c>
      <c r="B236" t="s">
        <v>147</v>
      </c>
      <c r="C236" t="s">
        <v>12</v>
      </c>
      <c r="D236" t="s">
        <v>20</v>
      </c>
      <c r="E236">
        <v>1</v>
      </c>
      <c r="F236" t="s">
        <v>392</v>
      </c>
      <c r="G236" t="s">
        <v>56</v>
      </c>
      <c r="H236" t="s">
        <v>144</v>
      </c>
      <c r="I236" t="s">
        <v>43</v>
      </c>
      <c r="J236" t="s">
        <v>17</v>
      </c>
      <c r="K236" t="s">
        <v>151</v>
      </c>
    </row>
    <row r="237" spans="1:11" x14ac:dyDescent="0.2">
      <c r="A237">
        <v>6955</v>
      </c>
      <c r="B237" t="s">
        <v>147</v>
      </c>
      <c r="C237" t="s">
        <v>12</v>
      </c>
      <c r="D237" t="s">
        <v>20</v>
      </c>
      <c r="E237">
        <v>1</v>
      </c>
      <c r="F237" t="s">
        <v>392</v>
      </c>
      <c r="G237" t="s">
        <v>14</v>
      </c>
      <c r="I237" t="s">
        <v>65</v>
      </c>
      <c r="J237" t="s">
        <v>24</v>
      </c>
      <c r="K237" t="s">
        <v>24</v>
      </c>
    </row>
    <row r="238" spans="1:11" x14ac:dyDescent="0.2">
      <c r="A238">
        <v>9452</v>
      </c>
      <c r="B238" t="s">
        <v>147</v>
      </c>
      <c r="C238" t="s">
        <v>12</v>
      </c>
      <c r="D238" t="s">
        <v>12</v>
      </c>
      <c r="E238">
        <v>0</v>
      </c>
      <c r="F238" t="s">
        <v>13</v>
      </c>
      <c r="G238" t="s">
        <v>29</v>
      </c>
      <c r="H238" t="s">
        <v>25</v>
      </c>
      <c r="I238" t="s">
        <v>26</v>
      </c>
      <c r="J238" t="s">
        <v>38</v>
      </c>
      <c r="K238" t="s">
        <v>257</v>
      </c>
    </row>
    <row r="239" spans="1:11" x14ac:dyDescent="0.2">
      <c r="A239">
        <v>5315</v>
      </c>
      <c r="B239" t="s">
        <v>147</v>
      </c>
      <c r="C239" t="s">
        <v>12</v>
      </c>
      <c r="D239" t="s">
        <v>12</v>
      </c>
      <c r="E239">
        <v>0</v>
      </c>
      <c r="F239" t="s">
        <v>13</v>
      </c>
      <c r="G239" t="s">
        <v>29</v>
      </c>
      <c r="H239" t="s">
        <v>61</v>
      </c>
      <c r="I239" t="s">
        <v>31</v>
      </c>
      <c r="J239" t="s">
        <v>32</v>
      </c>
      <c r="K239" t="s">
        <v>145</v>
      </c>
    </row>
    <row r="240" spans="1:11" x14ac:dyDescent="0.2">
      <c r="A240">
        <v>987</v>
      </c>
      <c r="B240" t="s">
        <v>147</v>
      </c>
      <c r="C240" t="s">
        <v>19</v>
      </c>
      <c r="D240" t="s">
        <v>19</v>
      </c>
      <c r="E240">
        <v>0</v>
      </c>
      <c r="F240" t="s">
        <v>394</v>
      </c>
      <c r="G240" t="s">
        <v>21</v>
      </c>
      <c r="I240" t="s">
        <v>37</v>
      </c>
      <c r="J240" t="s">
        <v>38</v>
      </c>
      <c r="K240" t="s">
        <v>33</v>
      </c>
    </row>
    <row r="241" spans="1:11" x14ac:dyDescent="0.2">
      <c r="A241">
        <v>2967</v>
      </c>
      <c r="B241" t="s">
        <v>147</v>
      </c>
      <c r="C241" t="s">
        <v>19</v>
      </c>
      <c r="D241" t="s">
        <v>19</v>
      </c>
      <c r="E241">
        <v>0</v>
      </c>
      <c r="F241" t="s">
        <v>392</v>
      </c>
      <c r="G241" t="s">
        <v>21</v>
      </c>
      <c r="H241" t="s">
        <v>146</v>
      </c>
      <c r="I241" t="s">
        <v>52</v>
      </c>
      <c r="J241" t="s">
        <v>24</v>
      </c>
      <c r="K241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1"/>
  <sheetViews>
    <sheetView topLeftCell="D1" workbookViewId="0">
      <selection sqref="A1:L1048576"/>
    </sheetView>
  </sheetViews>
  <sheetFormatPr baseColWidth="10" defaultColWidth="8.83203125" defaultRowHeight="15" x14ac:dyDescent="0.2"/>
  <cols>
    <col min="1" max="12" width="45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5699</v>
      </c>
      <c r="B2" t="s">
        <v>258</v>
      </c>
      <c r="C2" t="s">
        <v>12</v>
      </c>
      <c r="D2" t="s">
        <v>12</v>
      </c>
      <c r="E2">
        <v>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259</v>
      </c>
    </row>
    <row r="3" spans="1:11" x14ac:dyDescent="0.2">
      <c r="A3">
        <v>4699</v>
      </c>
      <c r="B3" t="s">
        <v>258</v>
      </c>
      <c r="C3" t="s">
        <v>19</v>
      </c>
      <c r="D3" t="s">
        <v>19</v>
      </c>
      <c r="E3">
        <v>0</v>
      </c>
      <c r="F3" t="s">
        <v>34</v>
      </c>
      <c r="G3" t="s">
        <v>21</v>
      </c>
      <c r="H3" t="s">
        <v>22</v>
      </c>
      <c r="I3" t="s">
        <v>23</v>
      </c>
      <c r="J3" t="s">
        <v>32</v>
      </c>
      <c r="K3" t="s">
        <v>62</v>
      </c>
    </row>
    <row r="4" spans="1:11" x14ac:dyDescent="0.2">
      <c r="A4">
        <v>9753</v>
      </c>
      <c r="B4" t="s">
        <v>258</v>
      </c>
      <c r="C4" t="s">
        <v>19</v>
      </c>
      <c r="D4" t="s">
        <v>19</v>
      </c>
      <c r="E4">
        <v>0</v>
      </c>
      <c r="F4" t="s">
        <v>394</v>
      </c>
      <c r="G4" t="s">
        <v>21</v>
      </c>
      <c r="H4" t="s">
        <v>25</v>
      </c>
      <c r="I4" t="s">
        <v>26</v>
      </c>
      <c r="J4" t="s">
        <v>32</v>
      </c>
      <c r="K4" t="s">
        <v>260</v>
      </c>
    </row>
    <row r="5" spans="1:11" x14ac:dyDescent="0.2">
      <c r="A5">
        <v>3658</v>
      </c>
      <c r="B5" t="s">
        <v>258</v>
      </c>
      <c r="C5" t="s">
        <v>12</v>
      </c>
      <c r="D5" t="s">
        <v>12</v>
      </c>
      <c r="E5">
        <v>0</v>
      </c>
      <c r="F5" t="s">
        <v>13</v>
      </c>
      <c r="G5" t="s">
        <v>29</v>
      </c>
      <c r="H5" t="s">
        <v>30</v>
      </c>
      <c r="I5" t="s">
        <v>31</v>
      </c>
      <c r="J5" t="s">
        <v>32</v>
      </c>
      <c r="K5" t="s">
        <v>261</v>
      </c>
    </row>
    <row r="6" spans="1:11" x14ac:dyDescent="0.2">
      <c r="A6">
        <v>7316</v>
      </c>
      <c r="B6" t="s">
        <v>258</v>
      </c>
      <c r="C6" t="s">
        <v>12</v>
      </c>
      <c r="D6" t="s">
        <v>12</v>
      </c>
      <c r="E6">
        <v>0</v>
      </c>
      <c r="F6" t="s">
        <v>13</v>
      </c>
      <c r="G6" t="s">
        <v>29</v>
      </c>
      <c r="I6" t="s">
        <v>37</v>
      </c>
      <c r="J6" t="s">
        <v>24</v>
      </c>
      <c r="K6" t="s">
        <v>24</v>
      </c>
    </row>
    <row r="7" spans="1:11" x14ac:dyDescent="0.2">
      <c r="A7">
        <v>3504</v>
      </c>
      <c r="B7" t="s">
        <v>258</v>
      </c>
      <c r="C7" t="s">
        <v>12</v>
      </c>
      <c r="D7" t="s">
        <v>12</v>
      </c>
      <c r="E7">
        <v>0</v>
      </c>
      <c r="F7" t="s">
        <v>34</v>
      </c>
      <c r="G7" t="s">
        <v>14</v>
      </c>
      <c r="I7" t="s">
        <v>31</v>
      </c>
      <c r="J7" t="s">
        <v>17</v>
      </c>
      <c r="K7" t="s">
        <v>183</v>
      </c>
    </row>
    <row r="8" spans="1:11" x14ac:dyDescent="0.2">
      <c r="A8">
        <v>2910</v>
      </c>
      <c r="B8" t="s">
        <v>258</v>
      </c>
      <c r="C8" t="s">
        <v>12</v>
      </c>
      <c r="D8" t="s">
        <v>19</v>
      </c>
      <c r="E8">
        <v>1</v>
      </c>
      <c r="F8" t="s">
        <v>13</v>
      </c>
      <c r="G8" t="s">
        <v>21</v>
      </c>
      <c r="I8" t="s">
        <v>37</v>
      </c>
      <c r="J8" t="s">
        <v>164</v>
      </c>
      <c r="K8" t="s">
        <v>262</v>
      </c>
    </row>
    <row r="9" spans="1:11" x14ac:dyDescent="0.2">
      <c r="A9">
        <v>3227</v>
      </c>
      <c r="B9" t="s">
        <v>258</v>
      </c>
      <c r="C9" t="s">
        <v>12</v>
      </c>
      <c r="D9" t="s">
        <v>12</v>
      </c>
      <c r="E9">
        <v>0</v>
      </c>
      <c r="F9" t="s">
        <v>394</v>
      </c>
      <c r="G9" t="s">
        <v>29</v>
      </c>
      <c r="I9" t="s">
        <v>37</v>
      </c>
      <c r="J9" t="s">
        <v>38</v>
      </c>
      <c r="K9" t="s">
        <v>38</v>
      </c>
    </row>
    <row r="10" spans="1:11" x14ac:dyDescent="0.2">
      <c r="A10">
        <v>5810</v>
      </c>
      <c r="B10" t="s">
        <v>258</v>
      </c>
      <c r="C10" t="s">
        <v>12</v>
      </c>
      <c r="D10" t="s">
        <v>12</v>
      </c>
      <c r="E10">
        <v>0</v>
      </c>
      <c r="F10" t="s">
        <v>394</v>
      </c>
      <c r="G10" t="s">
        <v>14</v>
      </c>
      <c r="H10" t="s">
        <v>39</v>
      </c>
      <c r="I10" t="s">
        <v>23</v>
      </c>
      <c r="J10" t="s">
        <v>40</v>
      </c>
      <c r="K10" t="s">
        <v>263</v>
      </c>
    </row>
    <row r="11" spans="1:11" x14ac:dyDescent="0.2">
      <c r="A11">
        <v>6468</v>
      </c>
      <c r="B11" t="s">
        <v>258</v>
      </c>
      <c r="C11" t="s">
        <v>19</v>
      </c>
      <c r="D11" t="s">
        <v>19</v>
      </c>
      <c r="E11">
        <v>0</v>
      </c>
      <c r="F11" t="s">
        <v>34</v>
      </c>
      <c r="G11" t="s">
        <v>21</v>
      </c>
      <c r="H11" t="s">
        <v>42</v>
      </c>
      <c r="I11" t="s">
        <v>43</v>
      </c>
      <c r="J11" t="s">
        <v>40</v>
      </c>
      <c r="K11" t="s">
        <v>41</v>
      </c>
    </row>
    <row r="12" spans="1:11" x14ac:dyDescent="0.2">
      <c r="A12">
        <v>10180</v>
      </c>
      <c r="B12" t="s">
        <v>258</v>
      </c>
      <c r="C12" t="s">
        <v>12</v>
      </c>
      <c r="D12" t="s">
        <v>12</v>
      </c>
      <c r="E12">
        <v>0</v>
      </c>
      <c r="F12" t="s">
        <v>13</v>
      </c>
      <c r="G12" t="s">
        <v>29</v>
      </c>
      <c r="I12" t="s">
        <v>37</v>
      </c>
      <c r="J12" t="s">
        <v>38</v>
      </c>
      <c r="K12" t="s">
        <v>264</v>
      </c>
    </row>
    <row r="13" spans="1:11" x14ac:dyDescent="0.2">
      <c r="A13">
        <v>7264</v>
      </c>
      <c r="B13" t="s">
        <v>258</v>
      </c>
      <c r="C13" t="s">
        <v>12</v>
      </c>
      <c r="D13" t="s">
        <v>12</v>
      </c>
      <c r="E13">
        <v>0</v>
      </c>
      <c r="F13" t="s">
        <v>394</v>
      </c>
      <c r="G13" t="s">
        <v>29</v>
      </c>
      <c r="H13" t="s">
        <v>46</v>
      </c>
      <c r="I13" t="s">
        <v>43</v>
      </c>
      <c r="J13" t="s">
        <v>40</v>
      </c>
      <c r="K13" t="s">
        <v>265</v>
      </c>
    </row>
    <row r="14" spans="1:11" x14ac:dyDescent="0.2">
      <c r="A14">
        <v>9707</v>
      </c>
      <c r="B14" t="s">
        <v>258</v>
      </c>
      <c r="C14" t="s">
        <v>12</v>
      </c>
      <c r="D14" t="s">
        <v>12</v>
      </c>
      <c r="E14">
        <v>0</v>
      </c>
      <c r="F14" t="s">
        <v>34</v>
      </c>
      <c r="G14" t="s">
        <v>21</v>
      </c>
      <c r="H14" t="s">
        <v>46</v>
      </c>
      <c r="I14" t="s">
        <v>23</v>
      </c>
      <c r="J14" t="s">
        <v>48</v>
      </c>
      <c r="K14" t="s">
        <v>255</v>
      </c>
    </row>
    <row r="15" spans="1:11" x14ac:dyDescent="0.2">
      <c r="A15">
        <v>4866</v>
      </c>
      <c r="B15" t="s">
        <v>258</v>
      </c>
      <c r="C15" t="s">
        <v>12</v>
      </c>
      <c r="D15" t="s">
        <v>12</v>
      </c>
      <c r="E15">
        <v>0</v>
      </c>
      <c r="F15" t="s">
        <v>13</v>
      </c>
      <c r="G15" t="s">
        <v>21</v>
      </c>
      <c r="H15" t="s">
        <v>157</v>
      </c>
      <c r="I15" t="s">
        <v>16</v>
      </c>
      <c r="J15" t="s">
        <v>17</v>
      </c>
      <c r="K15" t="s">
        <v>266</v>
      </c>
    </row>
    <row r="16" spans="1:11" x14ac:dyDescent="0.2">
      <c r="A16">
        <v>3280</v>
      </c>
      <c r="B16" t="s">
        <v>258</v>
      </c>
      <c r="C16" t="s">
        <v>12</v>
      </c>
      <c r="D16" t="s">
        <v>12</v>
      </c>
      <c r="E16">
        <v>0</v>
      </c>
      <c r="F16" t="s">
        <v>34</v>
      </c>
      <c r="G16" t="s">
        <v>29</v>
      </c>
      <c r="H16" t="s">
        <v>51</v>
      </c>
      <c r="I16" t="s">
        <v>52</v>
      </c>
      <c r="J16" t="s">
        <v>17</v>
      </c>
      <c r="K16" t="s">
        <v>267</v>
      </c>
    </row>
    <row r="17" spans="1:11" x14ac:dyDescent="0.2">
      <c r="A17">
        <v>2307</v>
      </c>
      <c r="B17" t="s">
        <v>258</v>
      </c>
      <c r="C17" t="s">
        <v>12</v>
      </c>
      <c r="D17" t="s">
        <v>12</v>
      </c>
      <c r="E17">
        <v>0</v>
      </c>
      <c r="F17" t="s">
        <v>394</v>
      </c>
      <c r="G17" t="s">
        <v>14</v>
      </c>
      <c r="H17" t="s">
        <v>49</v>
      </c>
      <c r="I17" t="s">
        <v>16</v>
      </c>
      <c r="J17" t="s">
        <v>38</v>
      </c>
      <c r="K17" t="s">
        <v>268</v>
      </c>
    </row>
    <row r="18" spans="1:11" x14ac:dyDescent="0.2">
      <c r="A18">
        <v>5174</v>
      </c>
      <c r="B18" t="s">
        <v>258</v>
      </c>
      <c r="C18" t="s">
        <v>12</v>
      </c>
      <c r="D18" t="s">
        <v>12</v>
      </c>
      <c r="E18">
        <v>0</v>
      </c>
      <c r="F18" t="s">
        <v>13</v>
      </c>
      <c r="G18" t="s">
        <v>29</v>
      </c>
      <c r="I18" t="s">
        <v>37</v>
      </c>
      <c r="J18" t="s">
        <v>38</v>
      </c>
      <c r="K18" t="s">
        <v>269</v>
      </c>
    </row>
    <row r="19" spans="1:11" x14ac:dyDescent="0.2">
      <c r="A19">
        <v>5807</v>
      </c>
      <c r="B19" t="s">
        <v>258</v>
      </c>
      <c r="C19" t="s">
        <v>12</v>
      </c>
      <c r="D19" t="s">
        <v>12</v>
      </c>
      <c r="E19">
        <v>0</v>
      </c>
      <c r="F19" t="s">
        <v>394</v>
      </c>
      <c r="G19" t="s">
        <v>29</v>
      </c>
      <c r="I19" t="s">
        <v>31</v>
      </c>
      <c r="J19" t="s">
        <v>55</v>
      </c>
      <c r="K19" t="s">
        <v>270</v>
      </c>
    </row>
    <row r="20" spans="1:11" x14ac:dyDescent="0.2">
      <c r="A20">
        <v>5844</v>
      </c>
      <c r="B20" t="s">
        <v>258</v>
      </c>
      <c r="C20" t="s">
        <v>12</v>
      </c>
      <c r="D20" t="s">
        <v>20</v>
      </c>
      <c r="E20">
        <v>1</v>
      </c>
      <c r="F20" t="s">
        <v>392</v>
      </c>
      <c r="G20" t="s">
        <v>21</v>
      </c>
      <c r="I20" t="s">
        <v>31</v>
      </c>
      <c r="J20" t="s">
        <v>164</v>
      </c>
      <c r="K20" t="s">
        <v>166</v>
      </c>
    </row>
    <row r="21" spans="1:11" x14ac:dyDescent="0.2">
      <c r="A21">
        <v>2969</v>
      </c>
      <c r="B21" t="s">
        <v>258</v>
      </c>
      <c r="C21" t="s">
        <v>12</v>
      </c>
      <c r="D21" t="s">
        <v>12</v>
      </c>
      <c r="E21">
        <v>0</v>
      </c>
      <c r="F21" t="s">
        <v>34</v>
      </c>
      <c r="G21" t="s">
        <v>56</v>
      </c>
      <c r="I21" t="s">
        <v>37</v>
      </c>
      <c r="J21" t="s">
        <v>24</v>
      </c>
      <c r="K21" t="s">
        <v>239</v>
      </c>
    </row>
    <row r="22" spans="1:11" x14ac:dyDescent="0.2">
      <c r="A22">
        <v>8401</v>
      </c>
      <c r="B22" t="s">
        <v>258</v>
      </c>
      <c r="C22" t="s">
        <v>12</v>
      </c>
      <c r="D22" t="s">
        <v>12</v>
      </c>
      <c r="E22">
        <v>0</v>
      </c>
      <c r="F22" t="s">
        <v>34</v>
      </c>
      <c r="G22" t="s">
        <v>29</v>
      </c>
      <c r="H22" t="s">
        <v>57</v>
      </c>
      <c r="I22" t="s">
        <v>31</v>
      </c>
      <c r="J22" t="s">
        <v>38</v>
      </c>
      <c r="K22" t="s">
        <v>271</v>
      </c>
    </row>
    <row r="23" spans="1:11" x14ac:dyDescent="0.2">
      <c r="A23">
        <v>3747</v>
      </c>
      <c r="B23" t="s">
        <v>258</v>
      </c>
      <c r="C23" t="s">
        <v>19</v>
      </c>
      <c r="D23" t="s">
        <v>19</v>
      </c>
      <c r="E23">
        <v>0</v>
      </c>
      <c r="F23" t="s">
        <v>394</v>
      </c>
      <c r="G23" t="s">
        <v>21</v>
      </c>
      <c r="H23" t="s">
        <v>58</v>
      </c>
      <c r="I23" t="s">
        <v>52</v>
      </c>
      <c r="J23" t="s">
        <v>38</v>
      </c>
      <c r="K23" t="s">
        <v>272</v>
      </c>
    </row>
    <row r="24" spans="1:11" x14ac:dyDescent="0.2">
      <c r="A24">
        <v>761</v>
      </c>
      <c r="B24" t="s">
        <v>258</v>
      </c>
      <c r="C24" t="s">
        <v>12</v>
      </c>
      <c r="D24" t="s">
        <v>20</v>
      </c>
      <c r="E24">
        <v>1</v>
      </c>
      <c r="F24" t="s">
        <v>392</v>
      </c>
      <c r="G24" t="s">
        <v>56</v>
      </c>
      <c r="H24" t="s">
        <v>60</v>
      </c>
      <c r="I24" t="s">
        <v>43</v>
      </c>
      <c r="J24" t="s">
        <v>164</v>
      </c>
      <c r="K24" t="s">
        <v>166</v>
      </c>
    </row>
    <row r="25" spans="1:11" x14ac:dyDescent="0.2">
      <c r="A25">
        <v>5344</v>
      </c>
      <c r="B25" t="s">
        <v>258</v>
      </c>
      <c r="C25" t="s">
        <v>12</v>
      </c>
      <c r="D25" t="s">
        <v>12</v>
      </c>
      <c r="E25">
        <v>0</v>
      </c>
      <c r="F25" t="s">
        <v>13</v>
      </c>
      <c r="G25" t="s">
        <v>29</v>
      </c>
      <c r="H25" t="s">
        <v>61</v>
      </c>
      <c r="I25" t="s">
        <v>31</v>
      </c>
      <c r="J25" t="s">
        <v>24</v>
      </c>
      <c r="K25" t="s">
        <v>273</v>
      </c>
    </row>
    <row r="26" spans="1:11" x14ac:dyDescent="0.2">
      <c r="A26">
        <v>729</v>
      </c>
      <c r="B26" t="s">
        <v>258</v>
      </c>
      <c r="C26" t="s">
        <v>12</v>
      </c>
      <c r="D26" t="s">
        <v>20</v>
      </c>
      <c r="E26">
        <v>1</v>
      </c>
      <c r="F26" t="s">
        <v>392</v>
      </c>
      <c r="G26" t="s">
        <v>56</v>
      </c>
      <c r="I26" t="s">
        <v>37</v>
      </c>
      <c r="J26" t="s">
        <v>164</v>
      </c>
      <c r="K26" t="s">
        <v>274</v>
      </c>
    </row>
    <row r="27" spans="1:11" x14ac:dyDescent="0.2">
      <c r="A27">
        <v>2782</v>
      </c>
      <c r="B27" t="s">
        <v>258</v>
      </c>
      <c r="C27" t="s">
        <v>12</v>
      </c>
      <c r="D27" t="s">
        <v>20</v>
      </c>
      <c r="E27">
        <v>1</v>
      </c>
      <c r="F27" t="s">
        <v>392</v>
      </c>
      <c r="G27" t="s">
        <v>56</v>
      </c>
      <c r="I27" t="s">
        <v>23</v>
      </c>
      <c r="J27" t="s">
        <v>164</v>
      </c>
      <c r="K27" t="s">
        <v>195</v>
      </c>
    </row>
    <row r="28" spans="1:11" x14ac:dyDescent="0.2">
      <c r="A28">
        <v>951</v>
      </c>
      <c r="B28" t="s">
        <v>258</v>
      </c>
      <c r="C28" t="s">
        <v>12</v>
      </c>
      <c r="D28" t="s">
        <v>12</v>
      </c>
      <c r="E28">
        <v>0</v>
      </c>
      <c r="F28" t="s">
        <v>13</v>
      </c>
      <c r="G28" t="s">
        <v>45</v>
      </c>
      <c r="H28" t="s">
        <v>46</v>
      </c>
      <c r="I28" t="s">
        <v>23</v>
      </c>
      <c r="J28" t="s">
        <v>27</v>
      </c>
      <c r="K28" t="s">
        <v>275</v>
      </c>
    </row>
    <row r="29" spans="1:11" x14ac:dyDescent="0.2">
      <c r="A29">
        <v>9370</v>
      </c>
      <c r="B29" t="s">
        <v>258</v>
      </c>
      <c r="C29" t="s">
        <v>12</v>
      </c>
      <c r="D29" t="s">
        <v>12</v>
      </c>
      <c r="E29">
        <v>0</v>
      </c>
      <c r="F29" t="s">
        <v>13</v>
      </c>
      <c r="G29" t="s">
        <v>29</v>
      </c>
      <c r="I29" t="s">
        <v>37</v>
      </c>
      <c r="J29" t="s">
        <v>24</v>
      </c>
      <c r="K29" t="s">
        <v>239</v>
      </c>
    </row>
    <row r="30" spans="1:11" x14ac:dyDescent="0.2">
      <c r="A30">
        <v>2937</v>
      </c>
      <c r="B30" t="s">
        <v>258</v>
      </c>
      <c r="C30" t="s">
        <v>12</v>
      </c>
      <c r="D30" t="s">
        <v>12</v>
      </c>
      <c r="E30">
        <v>0</v>
      </c>
      <c r="F30" t="s">
        <v>34</v>
      </c>
      <c r="G30" t="s">
        <v>21</v>
      </c>
      <c r="H30" t="s">
        <v>146</v>
      </c>
      <c r="I30" t="s">
        <v>52</v>
      </c>
      <c r="J30" t="s">
        <v>24</v>
      </c>
      <c r="K30" t="s">
        <v>276</v>
      </c>
    </row>
    <row r="31" spans="1:11" x14ac:dyDescent="0.2">
      <c r="A31">
        <v>4745</v>
      </c>
      <c r="B31" t="s">
        <v>258</v>
      </c>
      <c r="C31" t="s">
        <v>12</v>
      </c>
      <c r="D31" t="s">
        <v>12</v>
      </c>
      <c r="E31">
        <v>0</v>
      </c>
      <c r="F31" t="s">
        <v>34</v>
      </c>
      <c r="G31" t="s">
        <v>21</v>
      </c>
      <c r="H31" t="s">
        <v>46</v>
      </c>
      <c r="I31" t="s">
        <v>23</v>
      </c>
      <c r="J31" t="s">
        <v>164</v>
      </c>
      <c r="K31" t="s">
        <v>277</v>
      </c>
    </row>
    <row r="32" spans="1:11" x14ac:dyDescent="0.2">
      <c r="A32">
        <v>241</v>
      </c>
      <c r="B32" t="s">
        <v>258</v>
      </c>
      <c r="C32" t="s">
        <v>19</v>
      </c>
      <c r="D32" t="s">
        <v>19</v>
      </c>
      <c r="E32">
        <v>0</v>
      </c>
      <c r="F32" t="s">
        <v>394</v>
      </c>
      <c r="G32" t="s">
        <v>21</v>
      </c>
      <c r="H32" t="s">
        <v>25</v>
      </c>
      <c r="I32" t="s">
        <v>26</v>
      </c>
      <c r="J32" t="s">
        <v>38</v>
      </c>
      <c r="K32" t="s">
        <v>278</v>
      </c>
    </row>
    <row r="33" spans="1:11" x14ac:dyDescent="0.2">
      <c r="A33">
        <v>5265</v>
      </c>
      <c r="B33" t="s">
        <v>258</v>
      </c>
      <c r="C33" t="s">
        <v>19</v>
      </c>
      <c r="D33" t="s">
        <v>19</v>
      </c>
      <c r="E33">
        <v>0</v>
      </c>
      <c r="F33" t="s">
        <v>394</v>
      </c>
      <c r="G33" t="s">
        <v>21</v>
      </c>
      <c r="H33" t="s">
        <v>30</v>
      </c>
      <c r="I33" t="s">
        <v>31</v>
      </c>
      <c r="J33" t="s">
        <v>38</v>
      </c>
      <c r="K33" t="s">
        <v>59</v>
      </c>
    </row>
    <row r="34" spans="1:11" x14ac:dyDescent="0.2">
      <c r="A34">
        <v>7256</v>
      </c>
      <c r="B34" t="s">
        <v>258</v>
      </c>
      <c r="C34" t="s">
        <v>19</v>
      </c>
      <c r="D34" t="s">
        <v>19</v>
      </c>
      <c r="E34">
        <v>0</v>
      </c>
      <c r="F34" t="s">
        <v>34</v>
      </c>
      <c r="G34" t="s">
        <v>21</v>
      </c>
      <c r="H34" t="s">
        <v>67</v>
      </c>
      <c r="I34" t="s">
        <v>43</v>
      </c>
      <c r="J34" t="s">
        <v>38</v>
      </c>
      <c r="K34" t="s">
        <v>54</v>
      </c>
    </row>
    <row r="35" spans="1:11" x14ac:dyDescent="0.2">
      <c r="A35">
        <v>6563</v>
      </c>
      <c r="B35" t="s">
        <v>258</v>
      </c>
      <c r="C35" t="s">
        <v>12</v>
      </c>
      <c r="D35" t="s">
        <v>12</v>
      </c>
      <c r="E35">
        <v>0</v>
      </c>
      <c r="F35" t="s">
        <v>34</v>
      </c>
      <c r="G35" t="s">
        <v>14</v>
      </c>
      <c r="I35" t="s">
        <v>37</v>
      </c>
      <c r="J35" t="s">
        <v>164</v>
      </c>
      <c r="K35" t="s">
        <v>279</v>
      </c>
    </row>
    <row r="36" spans="1:11" x14ac:dyDescent="0.2">
      <c r="A36">
        <v>779</v>
      </c>
      <c r="B36" t="s">
        <v>258</v>
      </c>
      <c r="C36" t="s">
        <v>12</v>
      </c>
      <c r="D36" t="s">
        <v>12</v>
      </c>
      <c r="E36">
        <v>0</v>
      </c>
      <c r="F36" t="s">
        <v>13</v>
      </c>
      <c r="G36" t="s">
        <v>14</v>
      </c>
      <c r="H36" t="s">
        <v>280</v>
      </c>
      <c r="I36" t="s">
        <v>43</v>
      </c>
      <c r="J36" t="s">
        <v>32</v>
      </c>
      <c r="K36" t="s">
        <v>184</v>
      </c>
    </row>
    <row r="37" spans="1:11" x14ac:dyDescent="0.2">
      <c r="A37">
        <v>10179</v>
      </c>
      <c r="B37" t="s">
        <v>258</v>
      </c>
      <c r="C37" t="s">
        <v>12</v>
      </c>
      <c r="D37" t="s">
        <v>12</v>
      </c>
      <c r="E37">
        <v>0</v>
      </c>
      <c r="F37" t="s">
        <v>13</v>
      </c>
      <c r="G37" t="s">
        <v>29</v>
      </c>
      <c r="H37" t="s">
        <v>25</v>
      </c>
      <c r="I37" t="s">
        <v>26</v>
      </c>
      <c r="J37" t="s">
        <v>32</v>
      </c>
      <c r="K37" t="s">
        <v>75</v>
      </c>
    </row>
    <row r="38" spans="1:11" x14ac:dyDescent="0.2">
      <c r="A38">
        <v>6588</v>
      </c>
      <c r="B38" t="s">
        <v>258</v>
      </c>
      <c r="C38" t="s">
        <v>12</v>
      </c>
      <c r="D38" t="s">
        <v>20</v>
      </c>
      <c r="E38">
        <v>1</v>
      </c>
      <c r="F38" t="s">
        <v>392</v>
      </c>
      <c r="G38" t="s">
        <v>56</v>
      </c>
      <c r="I38" t="s">
        <v>23</v>
      </c>
      <c r="J38" t="s">
        <v>17</v>
      </c>
      <c r="K38" t="s">
        <v>241</v>
      </c>
    </row>
    <row r="39" spans="1:11" x14ac:dyDescent="0.2">
      <c r="A39">
        <v>7805</v>
      </c>
      <c r="B39" t="s">
        <v>258</v>
      </c>
      <c r="C39" t="s">
        <v>12</v>
      </c>
      <c r="D39" t="s">
        <v>12</v>
      </c>
      <c r="E39">
        <v>0</v>
      </c>
      <c r="F39" t="s">
        <v>13</v>
      </c>
      <c r="G39" t="s">
        <v>21</v>
      </c>
      <c r="H39" t="s">
        <v>71</v>
      </c>
      <c r="I39" t="s">
        <v>16</v>
      </c>
      <c r="J39" t="s">
        <v>24</v>
      </c>
      <c r="K39" t="s">
        <v>72</v>
      </c>
    </row>
    <row r="40" spans="1:11" x14ac:dyDescent="0.2">
      <c r="A40">
        <v>2920</v>
      </c>
      <c r="B40" t="s">
        <v>258</v>
      </c>
      <c r="C40" t="s">
        <v>12</v>
      </c>
      <c r="D40" t="s">
        <v>12</v>
      </c>
      <c r="E40">
        <v>0</v>
      </c>
      <c r="F40" t="s">
        <v>34</v>
      </c>
      <c r="G40" t="s">
        <v>21</v>
      </c>
      <c r="H40" t="s">
        <v>73</v>
      </c>
      <c r="I40" t="s">
        <v>26</v>
      </c>
      <c r="J40" t="s">
        <v>24</v>
      </c>
      <c r="K40" t="s">
        <v>281</v>
      </c>
    </row>
    <row r="41" spans="1:11" x14ac:dyDescent="0.2">
      <c r="A41">
        <v>2448</v>
      </c>
      <c r="B41" t="s">
        <v>258</v>
      </c>
      <c r="C41" t="s">
        <v>12</v>
      </c>
      <c r="D41" t="s">
        <v>12</v>
      </c>
      <c r="E41">
        <v>0</v>
      </c>
      <c r="F41" t="s">
        <v>13</v>
      </c>
      <c r="G41" t="s">
        <v>56</v>
      </c>
      <c r="H41" t="s">
        <v>25</v>
      </c>
      <c r="I41" t="s">
        <v>26</v>
      </c>
      <c r="J41" t="s">
        <v>32</v>
      </c>
      <c r="K41" t="s">
        <v>282</v>
      </c>
    </row>
    <row r="42" spans="1:11" x14ac:dyDescent="0.2">
      <c r="A42">
        <v>5371</v>
      </c>
      <c r="B42" t="s">
        <v>258</v>
      </c>
      <c r="C42" t="s">
        <v>12</v>
      </c>
      <c r="D42" t="s">
        <v>12</v>
      </c>
      <c r="E42">
        <v>0</v>
      </c>
      <c r="F42" t="s">
        <v>13</v>
      </c>
      <c r="G42" t="s">
        <v>29</v>
      </c>
      <c r="H42" t="s">
        <v>61</v>
      </c>
      <c r="I42" t="s">
        <v>31</v>
      </c>
      <c r="J42" t="s">
        <v>24</v>
      </c>
      <c r="K42" t="s">
        <v>273</v>
      </c>
    </row>
    <row r="43" spans="1:11" x14ac:dyDescent="0.2">
      <c r="A43">
        <v>2747</v>
      </c>
      <c r="B43" t="s">
        <v>258</v>
      </c>
      <c r="C43" t="s">
        <v>12</v>
      </c>
      <c r="D43" t="s">
        <v>12</v>
      </c>
      <c r="E43">
        <v>0</v>
      </c>
      <c r="F43" t="s">
        <v>394</v>
      </c>
      <c r="G43" t="s">
        <v>21</v>
      </c>
      <c r="H43" t="s">
        <v>46</v>
      </c>
      <c r="I43" t="s">
        <v>23</v>
      </c>
      <c r="J43" t="s">
        <v>27</v>
      </c>
      <c r="K43" t="s">
        <v>283</v>
      </c>
    </row>
    <row r="44" spans="1:11" x14ac:dyDescent="0.2">
      <c r="A44">
        <v>8655</v>
      </c>
      <c r="B44" t="s">
        <v>258</v>
      </c>
      <c r="C44" t="s">
        <v>19</v>
      </c>
      <c r="D44" t="s">
        <v>19</v>
      </c>
      <c r="E44">
        <v>0</v>
      </c>
      <c r="F44" t="s">
        <v>34</v>
      </c>
      <c r="G44" t="s">
        <v>78</v>
      </c>
      <c r="I44" t="s">
        <v>52</v>
      </c>
      <c r="J44" t="s">
        <v>40</v>
      </c>
      <c r="K44" t="s">
        <v>40</v>
      </c>
    </row>
    <row r="45" spans="1:11" x14ac:dyDescent="0.2">
      <c r="A45">
        <v>4607</v>
      </c>
      <c r="B45" t="s">
        <v>258</v>
      </c>
      <c r="C45" t="s">
        <v>19</v>
      </c>
      <c r="D45" t="s">
        <v>19</v>
      </c>
      <c r="E45">
        <v>0</v>
      </c>
      <c r="F45" t="s">
        <v>394</v>
      </c>
      <c r="G45" t="s">
        <v>21</v>
      </c>
      <c r="H45" t="s">
        <v>51</v>
      </c>
      <c r="I45" t="s">
        <v>52</v>
      </c>
      <c r="J45" t="s">
        <v>38</v>
      </c>
      <c r="K45" t="s">
        <v>284</v>
      </c>
    </row>
    <row r="46" spans="1:11" x14ac:dyDescent="0.2">
      <c r="A46">
        <v>1854</v>
      </c>
      <c r="B46" t="s">
        <v>258</v>
      </c>
      <c r="C46" t="s">
        <v>12</v>
      </c>
      <c r="D46" t="s">
        <v>20</v>
      </c>
      <c r="E46">
        <v>1</v>
      </c>
      <c r="F46" t="s">
        <v>392</v>
      </c>
      <c r="G46" t="s">
        <v>21</v>
      </c>
      <c r="H46" t="s">
        <v>15</v>
      </c>
      <c r="I46" t="s">
        <v>16</v>
      </c>
      <c r="J46" t="s">
        <v>164</v>
      </c>
      <c r="K46" t="s">
        <v>166</v>
      </c>
    </row>
    <row r="47" spans="1:11" x14ac:dyDescent="0.2">
      <c r="A47">
        <v>9849</v>
      </c>
      <c r="B47" t="s">
        <v>258</v>
      </c>
      <c r="C47" t="s">
        <v>12</v>
      </c>
      <c r="D47" t="s">
        <v>12</v>
      </c>
      <c r="E47">
        <v>0</v>
      </c>
      <c r="F47" t="s">
        <v>13</v>
      </c>
      <c r="G47" t="s">
        <v>29</v>
      </c>
      <c r="I47" t="s">
        <v>37</v>
      </c>
      <c r="J47" t="s">
        <v>38</v>
      </c>
      <c r="K47" t="s">
        <v>285</v>
      </c>
    </row>
    <row r="48" spans="1:11" x14ac:dyDescent="0.2">
      <c r="A48">
        <v>516</v>
      </c>
      <c r="B48" t="s">
        <v>258</v>
      </c>
      <c r="C48" t="s">
        <v>19</v>
      </c>
      <c r="D48" t="s">
        <v>19</v>
      </c>
      <c r="E48">
        <v>0</v>
      </c>
      <c r="F48" t="s">
        <v>394</v>
      </c>
      <c r="G48" t="s">
        <v>21</v>
      </c>
      <c r="H48" t="s">
        <v>81</v>
      </c>
      <c r="I48" t="s">
        <v>31</v>
      </c>
      <c r="J48" t="s">
        <v>38</v>
      </c>
      <c r="K48" t="s">
        <v>59</v>
      </c>
    </row>
    <row r="49" spans="1:11" x14ac:dyDescent="0.2">
      <c r="A49">
        <v>1289</v>
      </c>
      <c r="B49" t="s">
        <v>258</v>
      </c>
      <c r="C49" t="s">
        <v>19</v>
      </c>
      <c r="D49" t="s">
        <v>19</v>
      </c>
      <c r="E49">
        <v>0</v>
      </c>
      <c r="F49" t="s">
        <v>394</v>
      </c>
      <c r="G49" t="s">
        <v>21</v>
      </c>
      <c r="H49" t="s">
        <v>82</v>
      </c>
      <c r="I49" t="s">
        <v>23</v>
      </c>
      <c r="J49" t="s">
        <v>32</v>
      </c>
      <c r="K49" t="s">
        <v>286</v>
      </c>
    </row>
    <row r="50" spans="1:11" x14ac:dyDescent="0.2">
      <c r="A50">
        <v>8366</v>
      </c>
      <c r="B50" t="s">
        <v>258</v>
      </c>
      <c r="C50" t="s">
        <v>12</v>
      </c>
      <c r="D50" t="s">
        <v>20</v>
      </c>
      <c r="E50">
        <v>1</v>
      </c>
      <c r="F50" t="s">
        <v>392</v>
      </c>
      <c r="G50" t="s">
        <v>56</v>
      </c>
      <c r="H50" t="s">
        <v>144</v>
      </c>
      <c r="I50" t="s">
        <v>43</v>
      </c>
      <c r="J50" t="s">
        <v>164</v>
      </c>
      <c r="K50" t="s">
        <v>50</v>
      </c>
    </row>
    <row r="51" spans="1:11" x14ac:dyDescent="0.2">
      <c r="A51">
        <v>2889</v>
      </c>
      <c r="B51" t="s">
        <v>258</v>
      </c>
      <c r="C51" t="s">
        <v>12</v>
      </c>
      <c r="D51" t="s">
        <v>12</v>
      </c>
      <c r="E51">
        <v>0</v>
      </c>
      <c r="F51" t="s">
        <v>34</v>
      </c>
      <c r="G51" t="s">
        <v>56</v>
      </c>
      <c r="I51" t="s">
        <v>37</v>
      </c>
      <c r="J51" t="s">
        <v>24</v>
      </c>
      <c r="K51" t="s">
        <v>287</v>
      </c>
    </row>
    <row r="52" spans="1:11" x14ac:dyDescent="0.2">
      <c r="A52">
        <v>5185</v>
      </c>
      <c r="B52" t="s">
        <v>258</v>
      </c>
      <c r="C52" t="s">
        <v>12</v>
      </c>
      <c r="D52" t="s">
        <v>12</v>
      </c>
      <c r="E52">
        <v>0</v>
      </c>
      <c r="F52" t="s">
        <v>13</v>
      </c>
      <c r="G52" t="s">
        <v>29</v>
      </c>
      <c r="H52" t="s">
        <v>61</v>
      </c>
      <c r="I52" t="s">
        <v>31</v>
      </c>
      <c r="J52" t="s">
        <v>24</v>
      </c>
      <c r="K52" t="s">
        <v>288</v>
      </c>
    </row>
    <row r="53" spans="1:11" x14ac:dyDescent="0.2">
      <c r="A53">
        <v>259</v>
      </c>
      <c r="B53" t="s">
        <v>258</v>
      </c>
      <c r="C53" t="s">
        <v>12</v>
      </c>
      <c r="D53" t="s">
        <v>12</v>
      </c>
      <c r="E53">
        <v>0</v>
      </c>
      <c r="F53" t="s">
        <v>34</v>
      </c>
      <c r="G53" t="s">
        <v>56</v>
      </c>
      <c r="H53" t="s">
        <v>84</v>
      </c>
      <c r="I53" t="s">
        <v>23</v>
      </c>
      <c r="J53" t="s">
        <v>164</v>
      </c>
      <c r="K53" t="s">
        <v>289</v>
      </c>
    </row>
    <row r="54" spans="1:11" x14ac:dyDescent="0.2">
      <c r="A54">
        <v>474</v>
      </c>
      <c r="B54" t="s">
        <v>258</v>
      </c>
      <c r="C54" t="s">
        <v>19</v>
      </c>
      <c r="D54" t="s">
        <v>19</v>
      </c>
      <c r="E54">
        <v>0</v>
      </c>
      <c r="F54" t="s">
        <v>34</v>
      </c>
      <c r="G54" t="s">
        <v>21</v>
      </c>
      <c r="H54" t="s">
        <v>49</v>
      </c>
      <c r="I54" t="s">
        <v>16</v>
      </c>
      <c r="J54" t="s">
        <v>40</v>
      </c>
      <c r="K54" t="s">
        <v>225</v>
      </c>
    </row>
    <row r="55" spans="1:11" x14ac:dyDescent="0.2">
      <c r="A55">
        <v>138</v>
      </c>
      <c r="B55" t="s">
        <v>258</v>
      </c>
      <c r="C55" t="s">
        <v>12</v>
      </c>
      <c r="D55" t="s">
        <v>12</v>
      </c>
      <c r="E55">
        <v>0</v>
      </c>
      <c r="F55" t="s">
        <v>394</v>
      </c>
      <c r="G55" t="s">
        <v>56</v>
      </c>
      <c r="H55" t="s">
        <v>290</v>
      </c>
      <c r="I55" t="s">
        <v>16</v>
      </c>
      <c r="J55" t="s">
        <v>17</v>
      </c>
      <c r="K55" t="s">
        <v>241</v>
      </c>
    </row>
    <row r="56" spans="1:11" x14ac:dyDescent="0.2">
      <c r="A56">
        <v>4744</v>
      </c>
      <c r="B56" t="s">
        <v>258</v>
      </c>
      <c r="C56" t="s">
        <v>12</v>
      </c>
      <c r="D56" t="s">
        <v>12</v>
      </c>
      <c r="E56">
        <v>0</v>
      </c>
      <c r="F56" t="s">
        <v>34</v>
      </c>
      <c r="G56" t="s">
        <v>21</v>
      </c>
      <c r="H56" t="s">
        <v>85</v>
      </c>
      <c r="I56" t="s">
        <v>23</v>
      </c>
      <c r="J56" t="s">
        <v>48</v>
      </c>
      <c r="K56" t="s">
        <v>63</v>
      </c>
    </row>
    <row r="57" spans="1:11" x14ac:dyDescent="0.2">
      <c r="A57">
        <v>5338</v>
      </c>
      <c r="B57" t="s">
        <v>258</v>
      </c>
      <c r="C57" t="s">
        <v>12</v>
      </c>
      <c r="D57" t="s">
        <v>12</v>
      </c>
      <c r="E57">
        <v>0</v>
      </c>
      <c r="F57" t="s">
        <v>34</v>
      </c>
      <c r="G57" t="s">
        <v>56</v>
      </c>
      <c r="H57" t="s">
        <v>144</v>
      </c>
      <c r="I57" t="s">
        <v>43</v>
      </c>
      <c r="J57" t="s">
        <v>164</v>
      </c>
      <c r="K57" t="s">
        <v>166</v>
      </c>
    </row>
    <row r="58" spans="1:11" x14ac:dyDescent="0.2">
      <c r="A58">
        <v>5518</v>
      </c>
      <c r="B58" t="s">
        <v>258</v>
      </c>
      <c r="C58" t="s">
        <v>12</v>
      </c>
      <c r="D58" t="s">
        <v>12</v>
      </c>
      <c r="E58">
        <v>0</v>
      </c>
      <c r="F58" t="s">
        <v>13</v>
      </c>
      <c r="G58" t="s">
        <v>29</v>
      </c>
      <c r="H58" t="s">
        <v>61</v>
      </c>
      <c r="I58" t="s">
        <v>31</v>
      </c>
      <c r="J58" t="s">
        <v>32</v>
      </c>
      <c r="K58" t="s">
        <v>115</v>
      </c>
    </row>
    <row r="59" spans="1:11" x14ac:dyDescent="0.2">
      <c r="A59">
        <v>3333</v>
      </c>
      <c r="B59" t="s">
        <v>258</v>
      </c>
      <c r="C59" t="s">
        <v>12</v>
      </c>
      <c r="D59" t="s">
        <v>20</v>
      </c>
      <c r="E59">
        <v>1</v>
      </c>
      <c r="F59" t="s">
        <v>392</v>
      </c>
      <c r="G59" t="s">
        <v>21</v>
      </c>
      <c r="H59" t="s">
        <v>58</v>
      </c>
      <c r="I59" t="s">
        <v>52</v>
      </c>
      <c r="J59" t="s">
        <v>65</v>
      </c>
      <c r="K59" t="s">
        <v>65</v>
      </c>
    </row>
    <row r="60" spans="1:11" x14ac:dyDescent="0.2">
      <c r="A60">
        <v>9454</v>
      </c>
      <c r="B60" t="s">
        <v>258</v>
      </c>
      <c r="C60" t="s">
        <v>12</v>
      </c>
      <c r="D60" t="s">
        <v>12</v>
      </c>
      <c r="E60">
        <v>0</v>
      </c>
      <c r="F60" t="s">
        <v>13</v>
      </c>
      <c r="G60" t="s">
        <v>29</v>
      </c>
      <c r="H60" t="s">
        <v>25</v>
      </c>
      <c r="I60" t="s">
        <v>26</v>
      </c>
      <c r="J60" t="s">
        <v>38</v>
      </c>
      <c r="K60" t="s">
        <v>291</v>
      </c>
    </row>
    <row r="61" spans="1:11" x14ac:dyDescent="0.2">
      <c r="A61">
        <v>896</v>
      </c>
      <c r="B61" t="s">
        <v>258</v>
      </c>
      <c r="C61" t="s">
        <v>12</v>
      </c>
      <c r="D61" t="s">
        <v>12</v>
      </c>
      <c r="E61">
        <v>0</v>
      </c>
      <c r="F61" t="s">
        <v>34</v>
      </c>
      <c r="G61" t="s">
        <v>37</v>
      </c>
      <c r="I61" t="s">
        <v>37</v>
      </c>
      <c r="J61" t="s">
        <v>38</v>
      </c>
      <c r="K61" t="s">
        <v>117</v>
      </c>
    </row>
    <row r="62" spans="1:11" x14ac:dyDescent="0.2">
      <c r="A62">
        <v>2192</v>
      </c>
      <c r="B62" t="s">
        <v>258</v>
      </c>
      <c r="C62" t="s">
        <v>12</v>
      </c>
      <c r="D62" t="s">
        <v>20</v>
      </c>
      <c r="E62">
        <v>1</v>
      </c>
      <c r="F62" t="s">
        <v>392</v>
      </c>
      <c r="G62" t="s">
        <v>56</v>
      </c>
      <c r="I62" t="s">
        <v>37</v>
      </c>
      <c r="J62" t="s">
        <v>65</v>
      </c>
      <c r="K62" t="s">
        <v>65</v>
      </c>
    </row>
    <row r="63" spans="1:11" x14ac:dyDescent="0.2">
      <c r="A63">
        <v>9847</v>
      </c>
      <c r="B63" t="s">
        <v>258</v>
      </c>
      <c r="C63" t="s">
        <v>12</v>
      </c>
      <c r="D63" t="s">
        <v>12</v>
      </c>
      <c r="E63">
        <v>0</v>
      </c>
      <c r="F63" t="s">
        <v>13</v>
      </c>
      <c r="G63" t="s">
        <v>29</v>
      </c>
      <c r="H63" t="s">
        <v>25</v>
      </c>
      <c r="I63" t="s">
        <v>26</v>
      </c>
      <c r="J63" t="s">
        <v>32</v>
      </c>
      <c r="K63" t="s">
        <v>292</v>
      </c>
    </row>
    <row r="64" spans="1:11" x14ac:dyDescent="0.2">
      <c r="A64">
        <v>6929</v>
      </c>
      <c r="B64" t="s">
        <v>258</v>
      </c>
      <c r="C64" t="s">
        <v>19</v>
      </c>
      <c r="D64" t="s">
        <v>19</v>
      </c>
      <c r="E64">
        <v>0</v>
      </c>
      <c r="F64" t="s">
        <v>394</v>
      </c>
      <c r="G64" t="s">
        <v>21</v>
      </c>
      <c r="H64" t="s">
        <v>89</v>
      </c>
      <c r="I64" t="s">
        <v>31</v>
      </c>
      <c r="J64" t="s">
        <v>24</v>
      </c>
      <c r="K64" t="s">
        <v>103</v>
      </c>
    </row>
    <row r="65" spans="1:11" x14ac:dyDescent="0.2">
      <c r="A65">
        <v>2012</v>
      </c>
      <c r="B65" t="s">
        <v>258</v>
      </c>
      <c r="C65" t="s">
        <v>19</v>
      </c>
      <c r="D65" t="s">
        <v>20</v>
      </c>
      <c r="E65">
        <v>1</v>
      </c>
      <c r="F65" t="s">
        <v>392</v>
      </c>
      <c r="G65" t="s">
        <v>21</v>
      </c>
      <c r="H65" t="s">
        <v>49</v>
      </c>
      <c r="I65" t="s">
        <v>16</v>
      </c>
      <c r="J65" t="s">
        <v>17</v>
      </c>
      <c r="K65" t="s">
        <v>151</v>
      </c>
    </row>
    <row r="66" spans="1:11" x14ac:dyDescent="0.2">
      <c r="A66">
        <v>1010</v>
      </c>
      <c r="B66" t="s">
        <v>258</v>
      </c>
      <c r="C66" t="s">
        <v>19</v>
      </c>
      <c r="D66" t="s">
        <v>19</v>
      </c>
      <c r="E66">
        <v>0</v>
      </c>
      <c r="F66" t="s">
        <v>34</v>
      </c>
      <c r="G66" t="s">
        <v>21</v>
      </c>
      <c r="H66" t="s">
        <v>293</v>
      </c>
      <c r="I66" t="s">
        <v>26</v>
      </c>
      <c r="J66" t="s">
        <v>38</v>
      </c>
      <c r="K66" t="s">
        <v>38</v>
      </c>
    </row>
    <row r="67" spans="1:11" x14ac:dyDescent="0.2">
      <c r="A67">
        <v>6131</v>
      </c>
      <c r="B67" t="s">
        <v>258</v>
      </c>
      <c r="C67" t="s">
        <v>12</v>
      </c>
      <c r="D67" t="s">
        <v>20</v>
      </c>
      <c r="E67">
        <v>1</v>
      </c>
      <c r="F67" t="s">
        <v>392</v>
      </c>
      <c r="G67" t="s">
        <v>21</v>
      </c>
      <c r="H67" t="s">
        <v>73</v>
      </c>
      <c r="I67" t="s">
        <v>26</v>
      </c>
      <c r="J67" t="s">
        <v>65</v>
      </c>
      <c r="K67" t="s">
        <v>54</v>
      </c>
    </row>
    <row r="68" spans="1:11" x14ac:dyDescent="0.2">
      <c r="A68">
        <v>4698</v>
      </c>
      <c r="B68" t="s">
        <v>258</v>
      </c>
      <c r="C68" t="s">
        <v>19</v>
      </c>
      <c r="D68" t="s">
        <v>19</v>
      </c>
      <c r="E68">
        <v>0</v>
      </c>
      <c r="F68" t="s">
        <v>34</v>
      </c>
      <c r="G68" t="s">
        <v>21</v>
      </c>
      <c r="H68" t="s">
        <v>22</v>
      </c>
      <c r="I68" t="s">
        <v>23</v>
      </c>
      <c r="J68" t="s">
        <v>32</v>
      </c>
      <c r="K68" t="s">
        <v>62</v>
      </c>
    </row>
    <row r="69" spans="1:11" x14ac:dyDescent="0.2">
      <c r="A69">
        <v>3959</v>
      </c>
      <c r="B69" t="s">
        <v>258</v>
      </c>
      <c r="C69" t="s">
        <v>12</v>
      </c>
      <c r="D69" t="s">
        <v>12</v>
      </c>
      <c r="E69">
        <v>0</v>
      </c>
      <c r="F69" t="s">
        <v>13</v>
      </c>
      <c r="G69" t="s">
        <v>21</v>
      </c>
      <c r="H69" t="s">
        <v>49</v>
      </c>
      <c r="I69" t="s">
        <v>16</v>
      </c>
      <c r="J69" t="s">
        <v>24</v>
      </c>
      <c r="K69" t="s">
        <v>294</v>
      </c>
    </row>
    <row r="70" spans="1:11" x14ac:dyDescent="0.2">
      <c r="A70">
        <v>8850</v>
      </c>
      <c r="B70" t="s">
        <v>258</v>
      </c>
      <c r="C70" t="s">
        <v>12</v>
      </c>
      <c r="D70" t="s">
        <v>12</v>
      </c>
      <c r="E70">
        <v>0</v>
      </c>
      <c r="F70" t="s">
        <v>13</v>
      </c>
      <c r="G70" t="s">
        <v>29</v>
      </c>
      <c r="H70" t="s">
        <v>57</v>
      </c>
      <c r="I70" t="s">
        <v>31</v>
      </c>
      <c r="J70" t="s">
        <v>17</v>
      </c>
      <c r="K70" t="s">
        <v>295</v>
      </c>
    </row>
    <row r="71" spans="1:11" x14ac:dyDescent="0.2">
      <c r="A71">
        <v>4479</v>
      </c>
      <c r="B71" t="s">
        <v>258</v>
      </c>
      <c r="C71" t="s">
        <v>12</v>
      </c>
      <c r="D71" t="s">
        <v>12</v>
      </c>
      <c r="E71">
        <v>0</v>
      </c>
      <c r="F71" t="s">
        <v>394</v>
      </c>
      <c r="G71" t="s">
        <v>56</v>
      </c>
      <c r="H71" t="s">
        <v>113</v>
      </c>
      <c r="I71" t="s">
        <v>16</v>
      </c>
      <c r="J71" t="s">
        <v>164</v>
      </c>
      <c r="K71" t="s">
        <v>195</v>
      </c>
    </row>
    <row r="72" spans="1:11" x14ac:dyDescent="0.2">
      <c r="A72">
        <v>416</v>
      </c>
      <c r="B72" t="s">
        <v>258</v>
      </c>
      <c r="C72" t="s">
        <v>19</v>
      </c>
      <c r="D72" t="s">
        <v>19</v>
      </c>
      <c r="E72">
        <v>0</v>
      </c>
      <c r="F72" t="s">
        <v>394</v>
      </c>
      <c r="G72" t="s">
        <v>21</v>
      </c>
      <c r="H72" t="s">
        <v>91</v>
      </c>
      <c r="I72" t="s">
        <v>26</v>
      </c>
      <c r="J72" t="s">
        <v>32</v>
      </c>
      <c r="K72" t="s">
        <v>296</v>
      </c>
    </row>
    <row r="73" spans="1:11" x14ac:dyDescent="0.2">
      <c r="A73">
        <v>9023</v>
      </c>
      <c r="B73" t="s">
        <v>258</v>
      </c>
      <c r="C73" t="s">
        <v>12</v>
      </c>
      <c r="D73" t="s">
        <v>12</v>
      </c>
      <c r="E73">
        <v>0</v>
      </c>
      <c r="F73" t="s">
        <v>13</v>
      </c>
      <c r="G73" t="s">
        <v>56</v>
      </c>
      <c r="H73" t="s">
        <v>57</v>
      </c>
      <c r="I73" t="s">
        <v>31</v>
      </c>
      <c r="J73" t="s">
        <v>17</v>
      </c>
      <c r="K73" t="s">
        <v>297</v>
      </c>
    </row>
    <row r="74" spans="1:11" x14ac:dyDescent="0.2">
      <c r="A74">
        <v>9602</v>
      </c>
      <c r="B74" t="s">
        <v>258</v>
      </c>
      <c r="C74" t="s">
        <v>12</v>
      </c>
      <c r="D74" t="s">
        <v>12</v>
      </c>
      <c r="E74">
        <v>0</v>
      </c>
      <c r="F74" t="s">
        <v>394</v>
      </c>
      <c r="G74" t="s">
        <v>29</v>
      </c>
      <c r="H74" t="s">
        <v>73</v>
      </c>
      <c r="I74" t="s">
        <v>26</v>
      </c>
      <c r="J74" t="s">
        <v>38</v>
      </c>
      <c r="K74" t="s">
        <v>298</v>
      </c>
    </row>
    <row r="75" spans="1:11" x14ac:dyDescent="0.2">
      <c r="A75">
        <v>2534</v>
      </c>
      <c r="B75" t="s">
        <v>258</v>
      </c>
      <c r="C75" t="s">
        <v>19</v>
      </c>
      <c r="D75" t="s">
        <v>20</v>
      </c>
      <c r="E75">
        <v>1</v>
      </c>
      <c r="F75" t="s">
        <v>392</v>
      </c>
      <c r="G75" t="s">
        <v>21</v>
      </c>
      <c r="H75" t="s">
        <v>299</v>
      </c>
      <c r="I75" t="s">
        <v>43</v>
      </c>
      <c r="J75" t="s">
        <v>65</v>
      </c>
      <c r="K75" t="s">
        <v>151</v>
      </c>
    </row>
    <row r="76" spans="1:11" x14ac:dyDescent="0.2">
      <c r="A76">
        <v>3637</v>
      </c>
      <c r="B76" t="s">
        <v>258</v>
      </c>
      <c r="C76" t="s">
        <v>12</v>
      </c>
      <c r="D76" t="s">
        <v>12</v>
      </c>
      <c r="E76">
        <v>0</v>
      </c>
      <c r="F76" t="s">
        <v>13</v>
      </c>
      <c r="G76" t="s">
        <v>45</v>
      </c>
      <c r="H76" t="s">
        <v>61</v>
      </c>
      <c r="I76" t="s">
        <v>31</v>
      </c>
      <c r="J76" t="s">
        <v>88</v>
      </c>
      <c r="K76" t="s">
        <v>300</v>
      </c>
    </row>
    <row r="77" spans="1:11" x14ac:dyDescent="0.2">
      <c r="A77">
        <v>4305</v>
      </c>
      <c r="B77" t="s">
        <v>258</v>
      </c>
      <c r="C77" t="s">
        <v>12</v>
      </c>
      <c r="D77" t="s">
        <v>12</v>
      </c>
      <c r="E77">
        <v>0</v>
      </c>
      <c r="F77" t="s">
        <v>13</v>
      </c>
      <c r="G77" t="s">
        <v>56</v>
      </c>
      <c r="I77" t="s">
        <v>37</v>
      </c>
      <c r="J77" t="s">
        <v>164</v>
      </c>
      <c r="K77" t="s">
        <v>279</v>
      </c>
    </row>
    <row r="78" spans="1:11" x14ac:dyDescent="0.2">
      <c r="A78">
        <v>383</v>
      </c>
      <c r="B78" t="s">
        <v>258</v>
      </c>
      <c r="C78" t="s">
        <v>19</v>
      </c>
      <c r="D78" t="s">
        <v>19</v>
      </c>
      <c r="E78">
        <v>0</v>
      </c>
      <c r="F78" t="s">
        <v>394</v>
      </c>
      <c r="G78" t="s">
        <v>21</v>
      </c>
      <c r="H78" t="s">
        <v>57</v>
      </c>
      <c r="I78" t="s">
        <v>31</v>
      </c>
      <c r="J78" t="s">
        <v>38</v>
      </c>
      <c r="K78" t="s">
        <v>59</v>
      </c>
    </row>
    <row r="79" spans="1:11" x14ac:dyDescent="0.2">
      <c r="A79">
        <v>9695</v>
      </c>
      <c r="B79" t="s">
        <v>258</v>
      </c>
      <c r="C79" t="s">
        <v>12</v>
      </c>
      <c r="D79" t="s">
        <v>12</v>
      </c>
      <c r="E79">
        <v>0</v>
      </c>
      <c r="F79" t="s">
        <v>13</v>
      </c>
      <c r="G79" t="s">
        <v>109</v>
      </c>
      <c r="H79" t="s">
        <v>25</v>
      </c>
      <c r="I79" t="s">
        <v>26</v>
      </c>
      <c r="J79" t="s">
        <v>38</v>
      </c>
      <c r="K79" t="s">
        <v>139</v>
      </c>
    </row>
    <row r="80" spans="1:11" x14ac:dyDescent="0.2">
      <c r="A80">
        <v>4054</v>
      </c>
      <c r="B80" t="s">
        <v>258</v>
      </c>
      <c r="C80" t="s">
        <v>12</v>
      </c>
      <c r="D80" t="s">
        <v>12</v>
      </c>
      <c r="E80">
        <v>0</v>
      </c>
      <c r="F80" t="s">
        <v>13</v>
      </c>
      <c r="G80" t="s">
        <v>29</v>
      </c>
      <c r="H80" t="s">
        <v>30</v>
      </c>
      <c r="I80" t="s">
        <v>31</v>
      </c>
      <c r="J80" t="s">
        <v>24</v>
      </c>
      <c r="K80" t="s">
        <v>301</v>
      </c>
    </row>
    <row r="81" spans="1:11" x14ac:dyDescent="0.2">
      <c r="A81">
        <v>2931</v>
      </c>
      <c r="B81" t="s">
        <v>258</v>
      </c>
      <c r="C81" t="s">
        <v>12</v>
      </c>
      <c r="D81" t="s">
        <v>12</v>
      </c>
      <c r="E81">
        <v>0</v>
      </c>
      <c r="F81" t="s">
        <v>34</v>
      </c>
      <c r="G81" t="s">
        <v>14</v>
      </c>
      <c r="I81" t="s">
        <v>37</v>
      </c>
      <c r="J81" t="s">
        <v>24</v>
      </c>
      <c r="K81" t="s">
        <v>302</v>
      </c>
    </row>
    <row r="82" spans="1:11" x14ac:dyDescent="0.2">
      <c r="A82">
        <v>6297</v>
      </c>
      <c r="B82" t="s">
        <v>258</v>
      </c>
      <c r="C82" t="s">
        <v>19</v>
      </c>
      <c r="D82" t="s">
        <v>19</v>
      </c>
      <c r="E82">
        <v>0</v>
      </c>
      <c r="F82" t="s">
        <v>13</v>
      </c>
      <c r="G82" t="s">
        <v>21</v>
      </c>
      <c r="H82" t="s">
        <v>99</v>
      </c>
      <c r="I82" t="s">
        <v>23</v>
      </c>
      <c r="J82" t="s">
        <v>17</v>
      </c>
      <c r="K82" t="s">
        <v>303</v>
      </c>
    </row>
    <row r="83" spans="1:11" x14ac:dyDescent="0.2">
      <c r="A83">
        <v>3683</v>
      </c>
      <c r="B83" t="s">
        <v>258</v>
      </c>
      <c r="C83" t="s">
        <v>12</v>
      </c>
      <c r="D83" t="s">
        <v>12</v>
      </c>
      <c r="E83">
        <v>0</v>
      </c>
      <c r="F83" t="s">
        <v>13</v>
      </c>
      <c r="G83" t="s">
        <v>29</v>
      </c>
      <c r="H83" t="s">
        <v>46</v>
      </c>
      <c r="I83" t="s">
        <v>43</v>
      </c>
      <c r="J83" t="s">
        <v>48</v>
      </c>
      <c r="K83" t="s">
        <v>304</v>
      </c>
    </row>
    <row r="84" spans="1:11" x14ac:dyDescent="0.2">
      <c r="A84">
        <v>9343</v>
      </c>
      <c r="B84" t="s">
        <v>258</v>
      </c>
      <c r="C84" t="s">
        <v>19</v>
      </c>
      <c r="D84" t="s">
        <v>19</v>
      </c>
      <c r="E84">
        <v>0</v>
      </c>
      <c r="F84" t="s">
        <v>13</v>
      </c>
      <c r="G84" t="s">
        <v>21</v>
      </c>
      <c r="H84" t="s">
        <v>49</v>
      </c>
      <c r="I84" t="s">
        <v>16</v>
      </c>
      <c r="J84" t="s">
        <v>27</v>
      </c>
      <c r="K84" t="s">
        <v>305</v>
      </c>
    </row>
    <row r="85" spans="1:11" x14ac:dyDescent="0.2">
      <c r="A85">
        <v>5733</v>
      </c>
      <c r="B85" t="s">
        <v>258</v>
      </c>
      <c r="C85" t="s">
        <v>12</v>
      </c>
      <c r="D85" t="s">
        <v>12</v>
      </c>
      <c r="E85">
        <v>0</v>
      </c>
      <c r="F85" t="s">
        <v>34</v>
      </c>
      <c r="G85" t="s">
        <v>14</v>
      </c>
      <c r="H85" t="s">
        <v>67</v>
      </c>
      <c r="I85" t="s">
        <v>43</v>
      </c>
      <c r="J85" t="s">
        <v>48</v>
      </c>
      <c r="K85" t="s">
        <v>306</v>
      </c>
    </row>
    <row r="86" spans="1:11" x14ac:dyDescent="0.2">
      <c r="A86">
        <v>6601</v>
      </c>
      <c r="B86" t="s">
        <v>258</v>
      </c>
      <c r="C86" t="s">
        <v>12</v>
      </c>
      <c r="D86" t="s">
        <v>12</v>
      </c>
      <c r="E86">
        <v>0</v>
      </c>
      <c r="F86" t="s">
        <v>394</v>
      </c>
      <c r="G86" t="s">
        <v>14</v>
      </c>
      <c r="I86" t="s">
        <v>31</v>
      </c>
      <c r="J86" t="s">
        <v>164</v>
      </c>
      <c r="K86" t="s">
        <v>307</v>
      </c>
    </row>
    <row r="87" spans="1:11" x14ac:dyDescent="0.2">
      <c r="A87">
        <v>6550</v>
      </c>
      <c r="B87" t="s">
        <v>258</v>
      </c>
      <c r="C87" t="s">
        <v>12</v>
      </c>
      <c r="D87" t="s">
        <v>12</v>
      </c>
      <c r="E87">
        <v>0</v>
      </c>
      <c r="F87" t="s">
        <v>13</v>
      </c>
      <c r="G87" t="s">
        <v>21</v>
      </c>
      <c r="H87" t="s">
        <v>61</v>
      </c>
      <c r="I87" t="s">
        <v>31</v>
      </c>
      <c r="J87" t="s">
        <v>17</v>
      </c>
      <c r="K87" t="s">
        <v>266</v>
      </c>
    </row>
    <row r="88" spans="1:11" x14ac:dyDescent="0.2">
      <c r="A88">
        <v>6619</v>
      </c>
      <c r="B88" t="s">
        <v>258</v>
      </c>
      <c r="C88" t="s">
        <v>12</v>
      </c>
      <c r="D88" t="s">
        <v>12</v>
      </c>
      <c r="E88">
        <v>0</v>
      </c>
      <c r="F88" t="s">
        <v>394</v>
      </c>
      <c r="G88" t="s">
        <v>21</v>
      </c>
      <c r="I88" t="s">
        <v>37</v>
      </c>
      <c r="J88" t="s">
        <v>164</v>
      </c>
      <c r="K88" t="s">
        <v>279</v>
      </c>
    </row>
    <row r="89" spans="1:11" x14ac:dyDescent="0.2">
      <c r="A89">
        <v>4379</v>
      </c>
      <c r="B89" t="s">
        <v>258</v>
      </c>
      <c r="C89" t="s">
        <v>19</v>
      </c>
      <c r="D89" t="s">
        <v>20</v>
      </c>
      <c r="E89">
        <v>1</v>
      </c>
      <c r="F89" t="s">
        <v>392</v>
      </c>
      <c r="G89" t="s">
        <v>21</v>
      </c>
      <c r="I89" t="s">
        <v>23</v>
      </c>
      <c r="J89" t="s">
        <v>164</v>
      </c>
      <c r="K89" t="s">
        <v>308</v>
      </c>
    </row>
    <row r="90" spans="1:11" x14ac:dyDescent="0.2">
      <c r="A90">
        <v>923</v>
      </c>
      <c r="B90" t="s">
        <v>258</v>
      </c>
      <c r="C90" t="s">
        <v>12</v>
      </c>
      <c r="D90" t="s">
        <v>12</v>
      </c>
      <c r="E90">
        <v>0</v>
      </c>
      <c r="F90" t="s">
        <v>13</v>
      </c>
      <c r="G90" t="s">
        <v>14</v>
      </c>
      <c r="I90" t="s">
        <v>31</v>
      </c>
      <c r="J90" t="s">
        <v>24</v>
      </c>
      <c r="K90" t="s">
        <v>309</v>
      </c>
    </row>
    <row r="91" spans="1:11" x14ac:dyDescent="0.2">
      <c r="A91">
        <v>1186</v>
      </c>
      <c r="B91" t="s">
        <v>258</v>
      </c>
      <c r="C91" t="s">
        <v>12</v>
      </c>
      <c r="D91" t="s">
        <v>12</v>
      </c>
      <c r="E91">
        <v>0</v>
      </c>
      <c r="F91" t="s">
        <v>13</v>
      </c>
      <c r="G91" t="s">
        <v>37</v>
      </c>
      <c r="I91" t="s">
        <v>23</v>
      </c>
      <c r="J91" t="s">
        <v>65</v>
      </c>
      <c r="K91" t="s">
        <v>310</v>
      </c>
    </row>
    <row r="92" spans="1:11" x14ac:dyDescent="0.2">
      <c r="A92">
        <v>6552</v>
      </c>
      <c r="B92" t="s">
        <v>258</v>
      </c>
      <c r="C92" t="s">
        <v>19</v>
      </c>
      <c r="D92" t="s">
        <v>19</v>
      </c>
      <c r="E92">
        <v>0</v>
      </c>
      <c r="F92" t="s">
        <v>13</v>
      </c>
      <c r="G92" t="s">
        <v>21</v>
      </c>
      <c r="I92" t="s">
        <v>23</v>
      </c>
      <c r="J92" t="s">
        <v>17</v>
      </c>
      <c r="K92" t="s">
        <v>311</v>
      </c>
    </row>
    <row r="93" spans="1:11" x14ac:dyDescent="0.2">
      <c r="A93">
        <v>2292</v>
      </c>
      <c r="B93" t="s">
        <v>258</v>
      </c>
      <c r="C93" t="s">
        <v>12</v>
      </c>
      <c r="D93" t="s">
        <v>12</v>
      </c>
      <c r="E93">
        <v>0</v>
      </c>
      <c r="F93" t="s">
        <v>392</v>
      </c>
      <c r="G93" t="s">
        <v>14</v>
      </c>
      <c r="I93" t="s">
        <v>37</v>
      </c>
      <c r="J93" t="s">
        <v>24</v>
      </c>
      <c r="K93" t="s">
        <v>83</v>
      </c>
    </row>
    <row r="94" spans="1:11" x14ac:dyDescent="0.2">
      <c r="A94">
        <v>5978</v>
      </c>
      <c r="B94" t="s">
        <v>258</v>
      </c>
      <c r="C94" t="s">
        <v>12</v>
      </c>
      <c r="D94" t="s">
        <v>12</v>
      </c>
      <c r="E94">
        <v>0</v>
      </c>
      <c r="F94" t="s">
        <v>394</v>
      </c>
      <c r="G94" t="s">
        <v>56</v>
      </c>
      <c r="H94" t="s">
        <v>57</v>
      </c>
      <c r="I94" t="s">
        <v>31</v>
      </c>
      <c r="J94" t="s">
        <v>55</v>
      </c>
      <c r="K94" t="s">
        <v>312</v>
      </c>
    </row>
    <row r="95" spans="1:11" x14ac:dyDescent="0.2">
      <c r="A95">
        <v>5891</v>
      </c>
      <c r="B95" t="s">
        <v>258</v>
      </c>
      <c r="C95" t="s">
        <v>19</v>
      </c>
      <c r="D95" t="s">
        <v>20</v>
      </c>
      <c r="E95">
        <v>1</v>
      </c>
      <c r="F95" t="s">
        <v>392</v>
      </c>
      <c r="G95" t="s">
        <v>21</v>
      </c>
      <c r="H95" t="s">
        <v>51</v>
      </c>
      <c r="I95" t="s">
        <v>52</v>
      </c>
      <c r="J95" t="s">
        <v>65</v>
      </c>
      <c r="K95" t="s">
        <v>313</v>
      </c>
    </row>
    <row r="96" spans="1:11" x14ac:dyDescent="0.2">
      <c r="A96">
        <v>7289</v>
      </c>
      <c r="B96" t="s">
        <v>258</v>
      </c>
      <c r="C96" t="s">
        <v>19</v>
      </c>
      <c r="D96" t="s">
        <v>19</v>
      </c>
      <c r="E96">
        <v>0</v>
      </c>
      <c r="F96" t="s">
        <v>34</v>
      </c>
      <c r="G96" t="s">
        <v>21</v>
      </c>
      <c r="H96" t="s">
        <v>67</v>
      </c>
      <c r="I96" t="s">
        <v>43</v>
      </c>
      <c r="J96" t="s">
        <v>38</v>
      </c>
      <c r="K96" t="s">
        <v>59</v>
      </c>
    </row>
    <row r="97" spans="1:11" x14ac:dyDescent="0.2">
      <c r="A97">
        <v>3810</v>
      </c>
      <c r="B97" t="s">
        <v>258</v>
      </c>
      <c r="C97" t="s">
        <v>12</v>
      </c>
      <c r="D97" t="s">
        <v>12</v>
      </c>
      <c r="E97">
        <v>0</v>
      </c>
      <c r="F97" t="s">
        <v>13</v>
      </c>
      <c r="G97" t="s">
        <v>29</v>
      </c>
      <c r="I97" t="s">
        <v>31</v>
      </c>
      <c r="J97" t="s">
        <v>38</v>
      </c>
      <c r="K97" t="s">
        <v>269</v>
      </c>
    </row>
    <row r="98" spans="1:11" x14ac:dyDescent="0.2">
      <c r="A98">
        <v>2814</v>
      </c>
      <c r="B98" t="s">
        <v>258</v>
      </c>
      <c r="C98" t="s">
        <v>12</v>
      </c>
      <c r="D98" t="s">
        <v>20</v>
      </c>
      <c r="E98">
        <v>1</v>
      </c>
      <c r="F98" t="s">
        <v>392</v>
      </c>
      <c r="G98" t="s">
        <v>21</v>
      </c>
      <c r="H98" t="s">
        <v>81</v>
      </c>
      <c r="I98" t="s">
        <v>31</v>
      </c>
      <c r="J98" t="s">
        <v>164</v>
      </c>
      <c r="K98" t="s">
        <v>166</v>
      </c>
    </row>
    <row r="99" spans="1:11" x14ac:dyDescent="0.2">
      <c r="A99">
        <v>8263</v>
      </c>
      <c r="B99" t="s">
        <v>258</v>
      </c>
      <c r="C99" t="s">
        <v>19</v>
      </c>
      <c r="D99" t="s">
        <v>19</v>
      </c>
      <c r="E99">
        <v>0</v>
      </c>
      <c r="F99" t="s">
        <v>34</v>
      </c>
      <c r="G99" t="s">
        <v>21</v>
      </c>
      <c r="H99" t="s">
        <v>106</v>
      </c>
      <c r="I99" t="s">
        <v>31</v>
      </c>
      <c r="J99" t="s">
        <v>38</v>
      </c>
      <c r="K99" t="s">
        <v>54</v>
      </c>
    </row>
    <row r="100" spans="1:11" x14ac:dyDescent="0.2">
      <c r="A100">
        <v>5264</v>
      </c>
      <c r="B100" t="s">
        <v>258</v>
      </c>
      <c r="C100" t="s">
        <v>19</v>
      </c>
      <c r="D100" t="s">
        <v>19</v>
      </c>
      <c r="E100">
        <v>0</v>
      </c>
      <c r="F100" t="s">
        <v>394</v>
      </c>
      <c r="G100" t="s">
        <v>21</v>
      </c>
      <c r="H100" t="s">
        <v>30</v>
      </c>
      <c r="I100" t="s">
        <v>31</v>
      </c>
      <c r="J100" t="s">
        <v>32</v>
      </c>
      <c r="K100" t="s">
        <v>314</v>
      </c>
    </row>
    <row r="101" spans="1:11" x14ac:dyDescent="0.2">
      <c r="A101">
        <v>2480</v>
      </c>
      <c r="B101" t="s">
        <v>258</v>
      </c>
      <c r="C101" t="s">
        <v>12</v>
      </c>
      <c r="D101" t="s">
        <v>12</v>
      </c>
      <c r="E101">
        <v>0</v>
      </c>
      <c r="F101" t="s">
        <v>13</v>
      </c>
      <c r="G101" t="s">
        <v>14</v>
      </c>
      <c r="H101" t="s">
        <v>25</v>
      </c>
      <c r="I101" t="s">
        <v>26</v>
      </c>
      <c r="J101" t="s">
        <v>24</v>
      </c>
      <c r="K101" t="s">
        <v>315</v>
      </c>
    </row>
    <row r="102" spans="1:11" x14ac:dyDescent="0.2">
      <c r="A102">
        <v>1713</v>
      </c>
      <c r="B102" t="s">
        <v>258</v>
      </c>
      <c r="C102" t="s">
        <v>19</v>
      </c>
      <c r="D102" t="s">
        <v>19</v>
      </c>
      <c r="E102">
        <v>0</v>
      </c>
      <c r="F102" t="s">
        <v>13</v>
      </c>
      <c r="G102" t="s">
        <v>21</v>
      </c>
      <c r="H102" t="s">
        <v>61</v>
      </c>
      <c r="I102" t="s">
        <v>31</v>
      </c>
      <c r="J102" t="s">
        <v>17</v>
      </c>
      <c r="K102" t="s">
        <v>266</v>
      </c>
    </row>
    <row r="103" spans="1:11" x14ac:dyDescent="0.2">
      <c r="A103">
        <v>877</v>
      </c>
      <c r="B103" t="s">
        <v>258</v>
      </c>
      <c r="C103" t="s">
        <v>19</v>
      </c>
      <c r="D103" t="s">
        <v>20</v>
      </c>
      <c r="E103">
        <v>1</v>
      </c>
      <c r="F103" t="s">
        <v>392</v>
      </c>
      <c r="G103" t="s">
        <v>21</v>
      </c>
      <c r="H103" t="s">
        <v>146</v>
      </c>
      <c r="I103" t="s">
        <v>52</v>
      </c>
      <c r="J103" t="s">
        <v>55</v>
      </c>
      <c r="K103" t="s">
        <v>316</v>
      </c>
    </row>
    <row r="104" spans="1:11" x14ac:dyDescent="0.2">
      <c r="A104">
        <v>7536</v>
      </c>
      <c r="B104" t="s">
        <v>258</v>
      </c>
      <c r="C104" t="s">
        <v>12</v>
      </c>
      <c r="D104" t="s">
        <v>12</v>
      </c>
      <c r="E104">
        <v>0</v>
      </c>
      <c r="F104" t="s">
        <v>34</v>
      </c>
      <c r="G104" t="s">
        <v>109</v>
      </c>
      <c r="H104" t="s">
        <v>49</v>
      </c>
      <c r="I104" t="s">
        <v>16</v>
      </c>
      <c r="J104" t="s">
        <v>38</v>
      </c>
      <c r="K104" t="s">
        <v>317</v>
      </c>
    </row>
    <row r="105" spans="1:11" x14ac:dyDescent="0.2">
      <c r="A105">
        <v>5661</v>
      </c>
      <c r="B105" t="s">
        <v>258</v>
      </c>
      <c r="C105" t="s">
        <v>12</v>
      </c>
      <c r="D105" t="s">
        <v>20</v>
      </c>
      <c r="E105">
        <v>1</v>
      </c>
      <c r="F105" t="s">
        <v>392</v>
      </c>
      <c r="G105" t="s">
        <v>56</v>
      </c>
      <c r="H105" t="s">
        <v>49</v>
      </c>
      <c r="I105" t="s">
        <v>16</v>
      </c>
      <c r="J105" t="s">
        <v>164</v>
      </c>
      <c r="K105" t="s">
        <v>308</v>
      </c>
    </row>
    <row r="106" spans="1:11" x14ac:dyDescent="0.2">
      <c r="A106">
        <v>9980</v>
      </c>
      <c r="B106" t="s">
        <v>258</v>
      </c>
      <c r="C106" t="s">
        <v>12</v>
      </c>
      <c r="D106" t="s">
        <v>12</v>
      </c>
      <c r="E106">
        <v>0</v>
      </c>
      <c r="F106" t="s">
        <v>13</v>
      </c>
      <c r="G106" t="s">
        <v>45</v>
      </c>
      <c r="H106" t="s">
        <v>25</v>
      </c>
      <c r="I106" t="s">
        <v>26</v>
      </c>
      <c r="J106" t="s">
        <v>38</v>
      </c>
      <c r="K106" t="s">
        <v>318</v>
      </c>
    </row>
    <row r="107" spans="1:11" x14ac:dyDescent="0.2">
      <c r="A107">
        <v>6279</v>
      </c>
      <c r="B107" t="s">
        <v>258</v>
      </c>
      <c r="C107" t="s">
        <v>12</v>
      </c>
      <c r="D107" t="s">
        <v>12</v>
      </c>
      <c r="E107">
        <v>0</v>
      </c>
      <c r="F107" t="s">
        <v>13</v>
      </c>
      <c r="G107" t="s">
        <v>56</v>
      </c>
      <c r="I107" t="s">
        <v>23</v>
      </c>
      <c r="J107" t="s">
        <v>17</v>
      </c>
      <c r="K107" t="s">
        <v>50</v>
      </c>
    </row>
    <row r="108" spans="1:11" x14ac:dyDescent="0.2">
      <c r="A108">
        <v>9861</v>
      </c>
      <c r="B108" t="s">
        <v>258</v>
      </c>
      <c r="C108" t="s">
        <v>19</v>
      </c>
      <c r="D108" t="s">
        <v>19</v>
      </c>
      <c r="E108">
        <v>0</v>
      </c>
      <c r="F108" t="s">
        <v>394</v>
      </c>
      <c r="G108" t="s">
        <v>21</v>
      </c>
      <c r="H108" t="s">
        <v>49</v>
      </c>
      <c r="I108" t="s">
        <v>16</v>
      </c>
      <c r="J108" t="s">
        <v>27</v>
      </c>
      <c r="K108" t="s">
        <v>319</v>
      </c>
    </row>
    <row r="109" spans="1:11" x14ac:dyDescent="0.2">
      <c r="A109">
        <v>9505</v>
      </c>
      <c r="B109" t="s">
        <v>258</v>
      </c>
      <c r="C109" t="s">
        <v>12</v>
      </c>
      <c r="D109" t="s">
        <v>12</v>
      </c>
      <c r="E109">
        <v>0</v>
      </c>
      <c r="F109" t="s">
        <v>13</v>
      </c>
      <c r="G109" t="s">
        <v>14</v>
      </c>
      <c r="H109" t="s">
        <v>25</v>
      </c>
      <c r="I109" t="s">
        <v>26</v>
      </c>
      <c r="J109" t="s">
        <v>38</v>
      </c>
      <c r="K109" t="s">
        <v>320</v>
      </c>
    </row>
    <row r="110" spans="1:11" x14ac:dyDescent="0.2">
      <c r="A110">
        <v>940</v>
      </c>
      <c r="B110" t="s">
        <v>258</v>
      </c>
      <c r="C110" t="s">
        <v>12</v>
      </c>
      <c r="D110" t="s">
        <v>12</v>
      </c>
      <c r="E110">
        <v>0</v>
      </c>
      <c r="F110" t="s">
        <v>13</v>
      </c>
      <c r="G110" t="s">
        <v>14</v>
      </c>
      <c r="H110" t="s">
        <v>61</v>
      </c>
      <c r="I110" t="s">
        <v>31</v>
      </c>
      <c r="J110" t="s">
        <v>24</v>
      </c>
      <c r="K110" t="s">
        <v>321</v>
      </c>
    </row>
    <row r="111" spans="1:11" x14ac:dyDescent="0.2">
      <c r="A111">
        <v>6002</v>
      </c>
      <c r="B111" t="s">
        <v>258</v>
      </c>
      <c r="C111" t="s">
        <v>12</v>
      </c>
      <c r="D111" t="s">
        <v>20</v>
      </c>
      <c r="E111">
        <v>1</v>
      </c>
      <c r="F111" t="s">
        <v>392</v>
      </c>
      <c r="G111" t="s">
        <v>56</v>
      </c>
      <c r="H111" t="s">
        <v>49</v>
      </c>
      <c r="I111" t="s">
        <v>16</v>
      </c>
      <c r="J111" t="s">
        <v>24</v>
      </c>
      <c r="K111" t="s">
        <v>83</v>
      </c>
    </row>
    <row r="112" spans="1:11" x14ac:dyDescent="0.2">
      <c r="A112">
        <v>6121</v>
      </c>
      <c r="B112" t="s">
        <v>258</v>
      </c>
      <c r="C112" t="s">
        <v>12</v>
      </c>
      <c r="D112" t="s">
        <v>20</v>
      </c>
      <c r="E112">
        <v>1</v>
      </c>
      <c r="F112" t="s">
        <v>392</v>
      </c>
      <c r="G112" t="s">
        <v>21</v>
      </c>
      <c r="I112" t="s">
        <v>23</v>
      </c>
      <c r="J112" t="s">
        <v>164</v>
      </c>
      <c r="K112" t="s">
        <v>322</v>
      </c>
    </row>
    <row r="113" spans="1:11" x14ac:dyDescent="0.2">
      <c r="A113">
        <v>3193</v>
      </c>
      <c r="B113" t="s">
        <v>258</v>
      </c>
      <c r="C113" t="s">
        <v>19</v>
      </c>
      <c r="D113" t="s">
        <v>19</v>
      </c>
      <c r="E113">
        <v>0</v>
      </c>
      <c r="F113" t="s">
        <v>13</v>
      </c>
      <c r="G113" t="s">
        <v>21</v>
      </c>
      <c r="H113" t="s">
        <v>25</v>
      </c>
      <c r="I113" t="s">
        <v>26</v>
      </c>
      <c r="J113" t="s">
        <v>38</v>
      </c>
      <c r="K113" t="s">
        <v>323</v>
      </c>
    </row>
    <row r="114" spans="1:11" x14ac:dyDescent="0.2">
      <c r="A114">
        <v>5796</v>
      </c>
      <c r="B114" t="s">
        <v>258</v>
      </c>
      <c r="C114" t="s">
        <v>12</v>
      </c>
      <c r="D114" t="s">
        <v>12</v>
      </c>
      <c r="E114">
        <v>0</v>
      </c>
      <c r="F114" t="s">
        <v>13</v>
      </c>
      <c r="G114" t="s">
        <v>29</v>
      </c>
      <c r="H114" t="s">
        <v>61</v>
      </c>
      <c r="I114" t="s">
        <v>31</v>
      </c>
      <c r="J114" t="s">
        <v>38</v>
      </c>
      <c r="K114" t="s">
        <v>324</v>
      </c>
    </row>
    <row r="115" spans="1:11" x14ac:dyDescent="0.2">
      <c r="A115">
        <v>9845</v>
      </c>
      <c r="B115" t="s">
        <v>258</v>
      </c>
      <c r="C115" t="s">
        <v>12</v>
      </c>
      <c r="D115" t="s">
        <v>12</v>
      </c>
      <c r="E115">
        <v>0</v>
      </c>
      <c r="F115" t="s">
        <v>13</v>
      </c>
      <c r="G115" t="s">
        <v>29</v>
      </c>
      <c r="H115" t="s">
        <v>25</v>
      </c>
      <c r="I115" t="s">
        <v>26</v>
      </c>
      <c r="J115" t="s">
        <v>38</v>
      </c>
      <c r="K115" t="s">
        <v>325</v>
      </c>
    </row>
    <row r="116" spans="1:11" x14ac:dyDescent="0.2">
      <c r="A116">
        <v>2911</v>
      </c>
      <c r="B116" t="s">
        <v>258</v>
      </c>
      <c r="C116" t="s">
        <v>12</v>
      </c>
      <c r="D116" t="s">
        <v>12</v>
      </c>
      <c r="E116">
        <v>0</v>
      </c>
      <c r="F116" t="s">
        <v>34</v>
      </c>
      <c r="G116" t="s">
        <v>14</v>
      </c>
      <c r="I116" t="s">
        <v>37</v>
      </c>
      <c r="J116" t="s">
        <v>24</v>
      </c>
      <c r="K116" t="s">
        <v>326</v>
      </c>
    </row>
    <row r="117" spans="1:11" x14ac:dyDescent="0.2">
      <c r="A117">
        <v>10238</v>
      </c>
      <c r="B117" t="s">
        <v>258</v>
      </c>
      <c r="C117" t="s">
        <v>12</v>
      </c>
      <c r="D117" t="s">
        <v>12</v>
      </c>
      <c r="E117">
        <v>0</v>
      </c>
      <c r="F117" t="s">
        <v>34</v>
      </c>
      <c r="G117" t="s">
        <v>56</v>
      </c>
      <c r="H117" t="s">
        <v>46</v>
      </c>
      <c r="I117" t="s">
        <v>23</v>
      </c>
      <c r="J117" t="s">
        <v>17</v>
      </c>
      <c r="K117" t="s">
        <v>183</v>
      </c>
    </row>
    <row r="118" spans="1:11" x14ac:dyDescent="0.2">
      <c r="A118">
        <v>7345</v>
      </c>
      <c r="B118" t="s">
        <v>258</v>
      </c>
      <c r="C118" t="s">
        <v>12</v>
      </c>
      <c r="D118" t="s">
        <v>12</v>
      </c>
      <c r="E118">
        <v>0</v>
      </c>
      <c r="F118" t="s">
        <v>13</v>
      </c>
      <c r="G118" t="s">
        <v>14</v>
      </c>
      <c r="H118" t="s">
        <v>61</v>
      </c>
      <c r="I118" t="s">
        <v>31</v>
      </c>
      <c r="J118" t="s">
        <v>24</v>
      </c>
      <c r="K118" t="s">
        <v>103</v>
      </c>
    </row>
    <row r="119" spans="1:11" x14ac:dyDescent="0.2">
      <c r="A119">
        <v>1947</v>
      </c>
      <c r="B119" t="s">
        <v>258</v>
      </c>
      <c r="C119" t="s">
        <v>19</v>
      </c>
      <c r="D119" t="s">
        <v>19</v>
      </c>
      <c r="E119">
        <v>0</v>
      </c>
      <c r="F119" t="s">
        <v>394</v>
      </c>
      <c r="G119" t="s">
        <v>21</v>
      </c>
      <c r="H119" t="s">
        <v>57</v>
      </c>
      <c r="I119" t="s">
        <v>31</v>
      </c>
      <c r="J119" t="s">
        <v>38</v>
      </c>
      <c r="K119" t="s">
        <v>54</v>
      </c>
    </row>
    <row r="120" spans="1:11" x14ac:dyDescent="0.2">
      <c r="A120">
        <v>8600</v>
      </c>
      <c r="B120" t="s">
        <v>258</v>
      </c>
      <c r="C120" t="s">
        <v>12</v>
      </c>
      <c r="D120" t="s">
        <v>12</v>
      </c>
      <c r="E120">
        <v>0</v>
      </c>
      <c r="F120" t="s">
        <v>394</v>
      </c>
      <c r="G120" t="s">
        <v>56</v>
      </c>
      <c r="H120" t="s">
        <v>113</v>
      </c>
      <c r="I120" t="s">
        <v>16</v>
      </c>
      <c r="J120" t="s">
        <v>164</v>
      </c>
      <c r="K120" t="s">
        <v>152</v>
      </c>
    </row>
    <row r="121" spans="1:11" x14ac:dyDescent="0.2">
      <c r="A121">
        <v>1751</v>
      </c>
      <c r="B121" t="s">
        <v>258</v>
      </c>
      <c r="C121" t="s">
        <v>19</v>
      </c>
      <c r="D121" t="s">
        <v>12</v>
      </c>
      <c r="E121">
        <v>1</v>
      </c>
      <c r="F121" t="s">
        <v>13</v>
      </c>
      <c r="G121" t="s">
        <v>21</v>
      </c>
      <c r="H121" t="s">
        <v>114</v>
      </c>
      <c r="I121" t="s">
        <v>23</v>
      </c>
      <c r="J121" t="s">
        <v>17</v>
      </c>
      <c r="K121" t="s">
        <v>327</v>
      </c>
    </row>
    <row r="122" spans="1:11" x14ac:dyDescent="0.2">
      <c r="A122">
        <v>5771</v>
      </c>
      <c r="B122" t="s">
        <v>258</v>
      </c>
      <c r="C122" t="s">
        <v>19</v>
      </c>
      <c r="D122" t="s">
        <v>19</v>
      </c>
      <c r="E122">
        <v>0</v>
      </c>
      <c r="F122" t="s">
        <v>13</v>
      </c>
      <c r="G122" t="s">
        <v>21</v>
      </c>
      <c r="H122" t="s">
        <v>99</v>
      </c>
      <c r="I122" t="s">
        <v>23</v>
      </c>
      <c r="J122" t="s">
        <v>17</v>
      </c>
      <c r="K122" t="s">
        <v>303</v>
      </c>
    </row>
    <row r="123" spans="1:11" x14ac:dyDescent="0.2">
      <c r="A123">
        <v>6408</v>
      </c>
      <c r="B123" t="s">
        <v>258</v>
      </c>
      <c r="C123" t="s">
        <v>12</v>
      </c>
      <c r="D123" t="s">
        <v>12</v>
      </c>
      <c r="E123">
        <v>0</v>
      </c>
      <c r="F123" t="s">
        <v>13</v>
      </c>
      <c r="G123" t="s">
        <v>45</v>
      </c>
      <c r="H123" t="s">
        <v>46</v>
      </c>
      <c r="I123" t="s">
        <v>23</v>
      </c>
      <c r="J123" t="s">
        <v>88</v>
      </c>
      <c r="K123" t="s">
        <v>328</v>
      </c>
    </row>
    <row r="124" spans="1:11" x14ac:dyDescent="0.2">
      <c r="A124">
        <v>5300</v>
      </c>
      <c r="B124" t="s">
        <v>258</v>
      </c>
      <c r="C124" t="s">
        <v>12</v>
      </c>
      <c r="D124" t="s">
        <v>12</v>
      </c>
      <c r="E124">
        <v>0</v>
      </c>
      <c r="F124" t="s">
        <v>13</v>
      </c>
      <c r="G124" t="s">
        <v>45</v>
      </c>
      <c r="H124" t="s">
        <v>61</v>
      </c>
      <c r="I124" t="s">
        <v>31</v>
      </c>
      <c r="J124" t="s">
        <v>38</v>
      </c>
      <c r="K124" t="s">
        <v>329</v>
      </c>
    </row>
    <row r="125" spans="1:11" x14ac:dyDescent="0.2">
      <c r="A125">
        <v>8232</v>
      </c>
      <c r="B125" t="s">
        <v>258</v>
      </c>
      <c r="C125" t="s">
        <v>12</v>
      </c>
      <c r="D125" t="s">
        <v>12</v>
      </c>
      <c r="E125">
        <v>0</v>
      </c>
      <c r="F125" t="s">
        <v>13</v>
      </c>
      <c r="G125" t="s">
        <v>45</v>
      </c>
      <c r="H125" t="s">
        <v>105</v>
      </c>
      <c r="I125" t="s">
        <v>52</v>
      </c>
      <c r="J125" t="s">
        <v>88</v>
      </c>
      <c r="K125" t="s">
        <v>330</v>
      </c>
    </row>
    <row r="126" spans="1:11" x14ac:dyDescent="0.2">
      <c r="A126">
        <v>5034</v>
      </c>
      <c r="B126" t="s">
        <v>258</v>
      </c>
      <c r="C126" t="s">
        <v>19</v>
      </c>
      <c r="D126" t="s">
        <v>19</v>
      </c>
      <c r="E126">
        <v>0</v>
      </c>
      <c r="F126" t="s">
        <v>13</v>
      </c>
      <c r="G126" t="s">
        <v>21</v>
      </c>
      <c r="H126" t="s">
        <v>331</v>
      </c>
      <c r="I126" t="s">
        <v>26</v>
      </c>
      <c r="J126" t="s">
        <v>38</v>
      </c>
      <c r="K126" t="s">
        <v>112</v>
      </c>
    </row>
    <row r="127" spans="1:11" x14ac:dyDescent="0.2">
      <c r="A127">
        <v>1983</v>
      </c>
      <c r="B127" t="s">
        <v>258</v>
      </c>
      <c r="C127" t="s">
        <v>19</v>
      </c>
      <c r="D127" t="s">
        <v>20</v>
      </c>
      <c r="E127">
        <v>1</v>
      </c>
      <c r="F127" t="s">
        <v>392</v>
      </c>
      <c r="G127" t="s">
        <v>21</v>
      </c>
      <c r="H127" t="s">
        <v>118</v>
      </c>
      <c r="I127" t="s">
        <v>23</v>
      </c>
      <c r="J127" t="s">
        <v>65</v>
      </c>
      <c r="K127" t="s">
        <v>65</v>
      </c>
    </row>
    <row r="128" spans="1:11" x14ac:dyDescent="0.2">
      <c r="A128">
        <v>10181</v>
      </c>
      <c r="B128" t="s">
        <v>258</v>
      </c>
      <c r="C128" t="s">
        <v>12</v>
      </c>
      <c r="D128" t="s">
        <v>12</v>
      </c>
      <c r="E128">
        <v>0</v>
      </c>
      <c r="F128" t="s">
        <v>13</v>
      </c>
      <c r="G128" t="s">
        <v>29</v>
      </c>
      <c r="H128" t="s">
        <v>25</v>
      </c>
      <c r="I128" t="s">
        <v>26</v>
      </c>
      <c r="J128" t="s">
        <v>38</v>
      </c>
      <c r="K128" t="s">
        <v>59</v>
      </c>
    </row>
    <row r="129" spans="1:11" x14ac:dyDescent="0.2">
      <c r="A129">
        <v>5331</v>
      </c>
      <c r="B129" t="s">
        <v>258</v>
      </c>
      <c r="C129" t="s">
        <v>12</v>
      </c>
      <c r="D129" t="s">
        <v>12</v>
      </c>
      <c r="E129">
        <v>0</v>
      </c>
      <c r="F129" t="s">
        <v>13</v>
      </c>
      <c r="G129" t="s">
        <v>29</v>
      </c>
      <c r="H129" t="s">
        <v>61</v>
      </c>
      <c r="I129" t="s">
        <v>31</v>
      </c>
      <c r="J129" t="s">
        <v>27</v>
      </c>
      <c r="K129" t="s">
        <v>332</v>
      </c>
    </row>
    <row r="130" spans="1:11" x14ac:dyDescent="0.2">
      <c r="A130">
        <v>2941</v>
      </c>
      <c r="B130" t="s">
        <v>258</v>
      </c>
      <c r="C130" t="s">
        <v>12</v>
      </c>
      <c r="D130" t="s">
        <v>12</v>
      </c>
      <c r="E130">
        <v>0</v>
      </c>
      <c r="F130" t="s">
        <v>394</v>
      </c>
      <c r="G130" t="s">
        <v>14</v>
      </c>
      <c r="I130" t="s">
        <v>37</v>
      </c>
      <c r="J130" t="s">
        <v>24</v>
      </c>
      <c r="K130" t="s">
        <v>333</v>
      </c>
    </row>
    <row r="131" spans="1:11" x14ac:dyDescent="0.2">
      <c r="A131">
        <v>2219</v>
      </c>
      <c r="B131" t="s">
        <v>258</v>
      </c>
      <c r="C131" t="s">
        <v>19</v>
      </c>
      <c r="D131" t="s">
        <v>20</v>
      </c>
      <c r="E131">
        <v>1</v>
      </c>
      <c r="F131" t="s">
        <v>392</v>
      </c>
      <c r="G131" t="s">
        <v>56</v>
      </c>
      <c r="H131" t="s">
        <v>49</v>
      </c>
      <c r="I131" t="s">
        <v>16</v>
      </c>
      <c r="J131" t="s">
        <v>32</v>
      </c>
      <c r="K131" t="s">
        <v>62</v>
      </c>
    </row>
    <row r="132" spans="1:11" x14ac:dyDescent="0.2">
      <c r="A132">
        <v>4277</v>
      </c>
      <c r="B132" t="s">
        <v>258</v>
      </c>
      <c r="C132" t="s">
        <v>12</v>
      </c>
      <c r="D132" t="s">
        <v>12</v>
      </c>
      <c r="E132">
        <v>0</v>
      </c>
      <c r="F132" t="s">
        <v>34</v>
      </c>
      <c r="G132" t="s">
        <v>56</v>
      </c>
      <c r="H132" t="s">
        <v>46</v>
      </c>
      <c r="I132" t="s">
        <v>23</v>
      </c>
      <c r="J132" t="s">
        <v>48</v>
      </c>
      <c r="K132" t="s">
        <v>255</v>
      </c>
    </row>
    <row r="133" spans="1:11" x14ac:dyDescent="0.2">
      <c r="A133">
        <v>8589</v>
      </c>
      <c r="B133" t="s">
        <v>258</v>
      </c>
      <c r="C133" t="s">
        <v>19</v>
      </c>
      <c r="D133" t="s">
        <v>20</v>
      </c>
      <c r="E133">
        <v>1</v>
      </c>
      <c r="F133" t="s">
        <v>392</v>
      </c>
      <c r="G133" t="s">
        <v>21</v>
      </c>
      <c r="H133" t="s">
        <v>49</v>
      </c>
      <c r="I133" t="s">
        <v>16</v>
      </c>
      <c r="J133" t="s">
        <v>32</v>
      </c>
      <c r="K133" t="s">
        <v>33</v>
      </c>
    </row>
    <row r="134" spans="1:11" x14ac:dyDescent="0.2">
      <c r="A134">
        <v>2326</v>
      </c>
      <c r="B134" t="s">
        <v>258</v>
      </c>
      <c r="C134" t="s">
        <v>12</v>
      </c>
      <c r="D134" t="s">
        <v>12</v>
      </c>
      <c r="E134">
        <v>0</v>
      </c>
      <c r="F134" t="s">
        <v>13</v>
      </c>
      <c r="G134" t="s">
        <v>14</v>
      </c>
      <c r="H134" t="s">
        <v>25</v>
      </c>
      <c r="I134" t="s">
        <v>26</v>
      </c>
      <c r="J134" t="s">
        <v>38</v>
      </c>
      <c r="K134" t="s">
        <v>334</v>
      </c>
    </row>
    <row r="135" spans="1:11" x14ac:dyDescent="0.2">
      <c r="A135">
        <v>3279</v>
      </c>
      <c r="B135" t="s">
        <v>258</v>
      </c>
      <c r="C135" t="s">
        <v>12</v>
      </c>
      <c r="D135" t="s">
        <v>12</v>
      </c>
      <c r="E135">
        <v>0</v>
      </c>
      <c r="F135" t="s">
        <v>34</v>
      </c>
      <c r="G135" t="s">
        <v>29</v>
      </c>
      <c r="H135" t="s">
        <v>51</v>
      </c>
      <c r="I135" t="s">
        <v>52</v>
      </c>
      <c r="J135" t="s">
        <v>17</v>
      </c>
      <c r="K135" t="s">
        <v>50</v>
      </c>
    </row>
    <row r="136" spans="1:11" x14ac:dyDescent="0.2">
      <c r="A136">
        <v>4838</v>
      </c>
      <c r="B136" t="s">
        <v>258</v>
      </c>
      <c r="C136" t="s">
        <v>19</v>
      </c>
      <c r="D136" t="s">
        <v>19</v>
      </c>
      <c r="E136">
        <v>0</v>
      </c>
      <c r="F136" t="s">
        <v>13</v>
      </c>
      <c r="G136" t="s">
        <v>21</v>
      </c>
      <c r="I136" t="s">
        <v>31</v>
      </c>
      <c r="J136" t="s">
        <v>17</v>
      </c>
      <c r="K136" t="s">
        <v>266</v>
      </c>
    </row>
    <row r="137" spans="1:11" x14ac:dyDescent="0.2">
      <c r="A137">
        <v>6629</v>
      </c>
      <c r="B137" t="s">
        <v>258</v>
      </c>
      <c r="C137" t="s">
        <v>12</v>
      </c>
      <c r="D137" t="s">
        <v>12</v>
      </c>
      <c r="E137">
        <v>0</v>
      </c>
      <c r="F137" t="s">
        <v>34</v>
      </c>
      <c r="G137" t="s">
        <v>14</v>
      </c>
      <c r="I137" t="s">
        <v>31</v>
      </c>
      <c r="J137" t="s">
        <v>164</v>
      </c>
      <c r="K137" t="s">
        <v>277</v>
      </c>
    </row>
    <row r="138" spans="1:11" x14ac:dyDescent="0.2">
      <c r="A138">
        <v>5148</v>
      </c>
      <c r="B138" t="s">
        <v>258</v>
      </c>
      <c r="C138" t="s">
        <v>19</v>
      </c>
      <c r="D138" t="s">
        <v>12</v>
      </c>
      <c r="E138">
        <v>1</v>
      </c>
      <c r="F138" t="s">
        <v>13</v>
      </c>
      <c r="G138" t="s">
        <v>21</v>
      </c>
      <c r="H138" t="s">
        <v>157</v>
      </c>
      <c r="I138" t="s">
        <v>16</v>
      </c>
      <c r="J138" t="s">
        <v>17</v>
      </c>
      <c r="K138" t="s">
        <v>311</v>
      </c>
    </row>
    <row r="139" spans="1:11" x14ac:dyDescent="0.2">
      <c r="A139">
        <v>8410</v>
      </c>
      <c r="B139" t="s">
        <v>258</v>
      </c>
      <c r="C139" t="s">
        <v>12</v>
      </c>
      <c r="D139" t="s">
        <v>12</v>
      </c>
      <c r="E139">
        <v>0</v>
      </c>
      <c r="F139" t="s">
        <v>13</v>
      </c>
      <c r="G139" t="s">
        <v>14</v>
      </c>
      <c r="H139" t="s">
        <v>57</v>
      </c>
      <c r="I139" t="s">
        <v>31</v>
      </c>
      <c r="J139" t="s">
        <v>17</v>
      </c>
      <c r="K139" t="s">
        <v>335</v>
      </c>
    </row>
    <row r="140" spans="1:11" x14ac:dyDescent="0.2">
      <c r="A140">
        <v>3346</v>
      </c>
      <c r="B140" t="s">
        <v>258</v>
      </c>
      <c r="C140" t="s">
        <v>19</v>
      </c>
      <c r="D140" t="s">
        <v>19</v>
      </c>
      <c r="E140">
        <v>0</v>
      </c>
      <c r="F140" t="s">
        <v>394</v>
      </c>
      <c r="G140" t="s">
        <v>21</v>
      </c>
      <c r="H140" t="s">
        <v>61</v>
      </c>
      <c r="I140" t="s">
        <v>31</v>
      </c>
      <c r="J140" t="s">
        <v>32</v>
      </c>
      <c r="K140" t="s">
        <v>53</v>
      </c>
    </row>
    <row r="141" spans="1:11" x14ac:dyDescent="0.2">
      <c r="A141">
        <v>2241</v>
      </c>
      <c r="B141" t="s">
        <v>258</v>
      </c>
      <c r="C141" t="s">
        <v>12</v>
      </c>
      <c r="D141" t="s">
        <v>12</v>
      </c>
      <c r="E141">
        <v>0</v>
      </c>
      <c r="F141" t="s">
        <v>34</v>
      </c>
      <c r="G141" t="s">
        <v>29</v>
      </c>
      <c r="H141" t="s">
        <v>81</v>
      </c>
      <c r="I141" t="s">
        <v>31</v>
      </c>
      <c r="J141" t="s">
        <v>32</v>
      </c>
      <c r="K141" t="s">
        <v>292</v>
      </c>
    </row>
    <row r="142" spans="1:11" x14ac:dyDescent="0.2">
      <c r="A142">
        <v>4280</v>
      </c>
      <c r="B142" t="s">
        <v>258</v>
      </c>
      <c r="C142" t="s">
        <v>12</v>
      </c>
      <c r="D142" t="s">
        <v>12</v>
      </c>
      <c r="E142">
        <v>0</v>
      </c>
      <c r="F142" t="s">
        <v>34</v>
      </c>
      <c r="G142" t="s">
        <v>56</v>
      </c>
      <c r="H142" t="s">
        <v>85</v>
      </c>
      <c r="I142" t="s">
        <v>23</v>
      </c>
      <c r="J142" t="s">
        <v>164</v>
      </c>
      <c r="K142" t="s">
        <v>277</v>
      </c>
    </row>
    <row r="143" spans="1:11" x14ac:dyDescent="0.2">
      <c r="A143">
        <v>4533</v>
      </c>
      <c r="B143" t="s">
        <v>258</v>
      </c>
      <c r="C143" t="s">
        <v>12</v>
      </c>
      <c r="D143" t="s">
        <v>12</v>
      </c>
      <c r="E143">
        <v>0</v>
      </c>
      <c r="F143" t="s">
        <v>34</v>
      </c>
      <c r="G143" t="s">
        <v>29</v>
      </c>
      <c r="H143" t="s">
        <v>30</v>
      </c>
      <c r="I143" t="s">
        <v>31</v>
      </c>
      <c r="J143" t="s">
        <v>38</v>
      </c>
      <c r="K143" t="s">
        <v>269</v>
      </c>
    </row>
    <row r="144" spans="1:11" x14ac:dyDescent="0.2">
      <c r="A144">
        <v>10174</v>
      </c>
      <c r="B144" t="s">
        <v>258</v>
      </c>
      <c r="C144" t="s">
        <v>12</v>
      </c>
      <c r="D144" t="s">
        <v>12</v>
      </c>
      <c r="E144">
        <v>0</v>
      </c>
      <c r="F144" t="s">
        <v>13</v>
      </c>
      <c r="G144" t="s">
        <v>29</v>
      </c>
      <c r="H144" t="s">
        <v>25</v>
      </c>
      <c r="I144" t="s">
        <v>26</v>
      </c>
      <c r="J144" t="s">
        <v>55</v>
      </c>
      <c r="K144" t="s">
        <v>247</v>
      </c>
    </row>
    <row r="145" spans="1:11" x14ac:dyDescent="0.2">
      <c r="A145">
        <v>837</v>
      </c>
      <c r="B145" t="s">
        <v>258</v>
      </c>
      <c r="C145" t="s">
        <v>19</v>
      </c>
      <c r="D145" t="s">
        <v>20</v>
      </c>
      <c r="E145">
        <v>1</v>
      </c>
      <c r="F145" t="s">
        <v>392</v>
      </c>
      <c r="G145" t="s">
        <v>21</v>
      </c>
      <c r="H145" t="s">
        <v>49</v>
      </c>
      <c r="I145" t="s">
        <v>16</v>
      </c>
      <c r="J145" t="s">
        <v>27</v>
      </c>
      <c r="K145" t="s">
        <v>101</v>
      </c>
    </row>
    <row r="146" spans="1:11" x14ac:dyDescent="0.2">
      <c r="A146">
        <v>8425</v>
      </c>
      <c r="B146" t="s">
        <v>258</v>
      </c>
      <c r="C146" t="s">
        <v>12</v>
      </c>
      <c r="D146" t="s">
        <v>12</v>
      </c>
      <c r="E146">
        <v>0</v>
      </c>
      <c r="F146" t="s">
        <v>34</v>
      </c>
      <c r="G146" t="s">
        <v>29</v>
      </c>
      <c r="H146" t="s">
        <v>57</v>
      </c>
      <c r="I146" t="s">
        <v>31</v>
      </c>
      <c r="J146" t="s">
        <v>17</v>
      </c>
      <c r="K146" t="s">
        <v>336</v>
      </c>
    </row>
    <row r="147" spans="1:11" x14ac:dyDescent="0.2">
      <c r="A147">
        <v>3857</v>
      </c>
      <c r="B147" t="s">
        <v>258</v>
      </c>
      <c r="C147" t="s">
        <v>19</v>
      </c>
      <c r="D147" t="s">
        <v>20</v>
      </c>
      <c r="E147">
        <v>1</v>
      </c>
      <c r="F147" t="s">
        <v>392</v>
      </c>
      <c r="G147" t="s">
        <v>21</v>
      </c>
      <c r="H147" t="s">
        <v>121</v>
      </c>
      <c r="I147" t="s">
        <v>43</v>
      </c>
      <c r="J147" t="s">
        <v>32</v>
      </c>
      <c r="K147" t="s">
        <v>337</v>
      </c>
    </row>
    <row r="148" spans="1:11" x14ac:dyDescent="0.2">
      <c r="A148">
        <v>5178</v>
      </c>
      <c r="B148" t="s">
        <v>258</v>
      </c>
      <c r="C148" t="s">
        <v>19</v>
      </c>
      <c r="D148" t="s">
        <v>19</v>
      </c>
      <c r="E148">
        <v>0</v>
      </c>
      <c r="F148" t="s">
        <v>13</v>
      </c>
      <c r="G148" t="s">
        <v>21</v>
      </c>
      <c r="H148" t="s">
        <v>61</v>
      </c>
      <c r="I148" t="s">
        <v>31</v>
      </c>
      <c r="J148" t="s">
        <v>27</v>
      </c>
      <c r="K148" t="s">
        <v>338</v>
      </c>
    </row>
    <row r="149" spans="1:11" x14ac:dyDescent="0.2">
      <c r="A149">
        <v>1955</v>
      </c>
      <c r="B149" t="s">
        <v>258</v>
      </c>
      <c r="C149" t="s">
        <v>12</v>
      </c>
      <c r="D149" t="s">
        <v>12</v>
      </c>
      <c r="E149">
        <v>0</v>
      </c>
      <c r="F149" t="s">
        <v>13</v>
      </c>
      <c r="G149" t="s">
        <v>14</v>
      </c>
      <c r="H149" t="s">
        <v>81</v>
      </c>
      <c r="I149" t="s">
        <v>31</v>
      </c>
      <c r="J149" t="s">
        <v>38</v>
      </c>
      <c r="K149" t="s">
        <v>268</v>
      </c>
    </row>
    <row r="150" spans="1:11" x14ac:dyDescent="0.2">
      <c r="A150">
        <v>2086</v>
      </c>
      <c r="B150" t="s">
        <v>258</v>
      </c>
      <c r="C150" t="s">
        <v>12</v>
      </c>
      <c r="D150" t="s">
        <v>12</v>
      </c>
      <c r="E150">
        <v>0</v>
      </c>
      <c r="F150" t="s">
        <v>394</v>
      </c>
      <c r="G150" t="s">
        <v>29</v>
      </c>
      <c r="H150" t="s">
        <v>331</v>
      </c>
      <c r="I150" t="s">
        <v>26</v>
      </c>
      <c r="J150" t="s">
        <v>38</v>
      </c>
      <c r="K150" t="s">
        <v>339</v>
      </c>
    </row>
    <row r="151" spans="1:11" x14ac:dyDescent="0.2">
      <c r="A151">
        <v>6382</v>
      </c>
      <c r="B151" t="s">
        <v>258</v>
      </c>
      <c r="C151" t="s">
        <v>12</v>
      </c>
      <c r="D151" t="s">
        <v>12</v>
      </c>
      <c r="E151">
        <v>0</v>
      </c>
      <c r="F151" t="s">
        <v>13</v>
      </c>
      <c r="G151" t="s">
        <v>56</v>
      </c>
      <c r="I151" t="s">
        <v>37</v>
      </c>
      <c r="J151" t="s">
        <v>17</v>
      </c>
      <c r="K151" t="s">
        <v>327</v>
      </c>
    </row>
    <row r="152" spans="1:11" x14ac:dyDescent="0.2">
      <c r="A152">
        <v>3146</v>
      </c>
      <c r="B152" t="s">
        <v>258</v>
      </c>
      <c r="C152" t="s">
        <v>12</v>
      </c>
      <c r="D152" t="s">
        <v>12</v>
      </c>
      <c r="E152">
        <v>0</v>
      </c>
      <c r="F152" t="s">
        <v>394</v>
      </c>
      <c r="G152" t="s">
        <v>14</v>
      </c>
      <c r="H152" t="s">
        <v>340</v>
      </c>
      <c r="I152" t="s">
        <v>31</v>
      </c>
      <c r="J152" t="s">
        <v>24</v>
      </c>
      <c r="K152" t="s">
        <v>341</v>
      </c>
    </row>
    <row r="153" spans="1:11" x14ac:dyDescent="0.2">
      <c r="A153">
        <v>5893</v>
      </c>
      <c r="B153" t="s">
        <v>258</v>
      </c>
      <c r="C153" t="s">
        <v>12</v>
      </c>
      <c r="D153" t="s">
        <v>12</v>
      </c>
      <c r="E153">
        <v>0</v>
      </c>
      <c r="F153" t="s">
        <v>34</v>
      </c>
      <c r="G153" t="s">
        <v>14</v>
      </c>
      <c r="I153" t="s">
        <v>37</v>
      </c>
      <c r="J153" t="s">
        <v>17</v>
      </c>
      <c r="K153" t="s">
        <v>342</v>
      </c>
    </row>
    <row r="154" spans="1:11" x14ac:dyDescent="0.2">
      <c r="A154">
        <v>10177</v>
      </c>
      <c r="B154" t="s">
        <v>258</v>
      </c>
      <c r="C154" t="s">
        <v>12</v>
      </c>
      <c r="D154" t="s">
        <v>12</v>
      </c>
      <c r="E154">
        <v>0</v>
      </c>
      <c r="F154" t="s">
        <v>13</v>
      </c>
      <c r="G154" t="s">
        <v>29</v>
      </c>
      <c r="H154" t="s">
        <v>25</v>
      </c>
      <c r="I154" t="s">
        <v>26</v>
      </c>
      <c r="J154" t="s">
        <v>38</v>
      </c>
      <c r="K154" t="s">
        <v>54</v>
      </c>
    </row>
    <row r="155" spans="1:11" x14ac:dyDescent="0.2">
      <c r="A155">
        <v>6126</v>
      </c>
      <c r="B155" t="s">
        <v>258</v>
      </c>
      <c r="C155" t="s">
        <v>19</v>
      </c>
      <c r="D155" t="s">
        <v>20</v>
      </c>
      <c r="E155">
        <v>1</v>
      </c>
      <c r="F155" t="s">
        <v>392</v>
      </c>
      <c r="G155" t="s">
        <v>21</v>
      </c>
      <c r="H155" t="s">
        <v>49</v>
      </c>
      <c r="I155" t="s">
        <v>16</v>
      </c>
      <c r="J155" t="s">
        <v>17</v>
      </c>
      <c r="K155" t="s">
        <v>151</v>
      </c>
    </row>
    <row r="156" spans="1:11" x14ac:dyDescent="0.2">
      <c r="A156">
        <v>1943</v>
      </c>
      <c r="B156" t="s">
        <v>258</v>
      </c>
      <c r="C156" t="s">
        <v>19</v>
      </c>
      <c r="D156" t="s">
        <v>19</v>
      </c>
      <c r="E156">
        <v>0</v>
      </c>
      <c r="F156" t="s">
        <v>394</v>
      </c>
      <c r="G156" t="s">
        <v>21</v>
      </c>
      <c r="H156" t="s">
        <v>57</v>
      </c>
      <c r="I156" t="s">
        <v>31</v>
      </c>
      <c r="J156" t="s">
        <v>38</v>
      </c>
      <c r="K156" t="s">
        <v>54</v>
      </c>
    </row>
    <row r="157" spans="1:11" x14ac:dyDescent="0.2">
      <c r="A157">
        <v>6413</v>
      </c>
      <c r="B157" t="s">
        <v>258</v>
      </c>
      <c r="C157" t="s">
        <v>12</v>
      </c>
      <c r="D157" t="s">
        <v>12</v>
      </c>
      <c r="E157">
        <v>0</v>
      </c>
      <c r="F157" t="s">
        <v>13</v>
      </c>
      <c r="G157" t="s">
        <v>45</v>
      </c>
      <c r="H157" t="s">
        <v>121</v>
      </c>
      <c r="I157" t="s">
        <v>43</v>
      </c>
      <c r="J157" t="s">
        <v>88</v>
      </c>
      <c r="K157" t="s">
        <v>343</v>
      </c>
    </row>
    <row r="158" spans="1:11" x14ac:dyDescent="0.2">
      <c r="A158">
        <v>9293</v>
      </c>
      <c r="B158" t="s">
        <v>258</v>
      </c>
      <c r="C158" t="s">
        <v>12</v>
      </c>
      <c r="D158" t="s">
        <v>12</v>
      </c>
      <c r="E158">
        <v>0</v>
      </c>
      <c r="F158" t="s">
        <v>13</v>
      </c>
      <c r="G158" t="s">
        <v>21</v>
      </c>
      <c r="H158" t="s">
        <v>57</v>
      </c>
      <c r="I158" t="s">
        <v>31</v>
      </c>
      <c r="J158" t="s">
        <v>17</v>
      </c>
      <c r="K158" t="s">
        <v>344</v>
      </c>
    </row>
    <row r="159" spans="1:11" x14ac:dyDescent="0.2">
      <c r="A159">
        <v>1844</v>
      </c>
      <c r="B159" t="s">
        <v>258</v>
      </c>
      <c r="C159" t="s">
        <v>12</v>
      </c>
      <c r="D159" t="s">
        <v>12</v>
      </c>
      <c r="E159">
        <v>0</v>
      </c>
      <c r="F159" t="s">
        <v>34</v>
      </c>
      <c r="G159" t="s">
        <v>14</v>
      </c>
      <c r="H159" t="s">
        <v>81</v>
      </c>
      <c r="I159" t="s">
        <v>31</v>
      </c>
      <c r="J159" t="s">
        <v>32</v>
      </c>
      <c r="K159" t="s">
        <v>345</v>
      </c>
    </row>
    <row r="160" spans="1:11" x14ac:dyDescent="0.2">
      <c r="A160">
        <v>2483</v>
      </c>
      <c r="B160" t="s">
        <v>258</v>
      </c>
      <c r="C160" t="s">
        <v>19</v>
      </c>
      <c r="D160" t="s">
        <v>19</v>
      </c>
      <c r="E160">
        <v>0</v>
      </c>
      <c r="F160" t="s">
        <v>13</v>
      </c>
      <c r="G160" t="s">
        <v>21</v>
      </c>
      <c r="H160" t="s">
        <v>49</v>
      </c>
      <c r="I160" t="s">
        <v>16</v>
      </c>
      <c r="J160" t="s">
        <v>24</v>
      </c>
      <c r="K160" t="s">
        <v>346</v>
      </c>
    </row>
    <row r="161" spans="1:11" x14ac:dyDescent="0.2">
      <c r="A161">
        <v>6007</v>
      </c>
      <c r="B161" t="s">
        <v>258</v>
      </c>
      <c r="C161" t="s">
        <v>12</v>
      </c>
      <c r="D161" t="s">
        <v>12</v>
      </c>
      <c r="E161">
        <v>0</v>
      </c>
      <c r="F161" t="s">
        <v>13</v>
      </c>
      <c r="G161" t="s">
        <v>29</v>
      </c>
      <c r="I161" t="s">
        <v>31</v>
      </c>
      <c r="J161" t="s">
        <v>24</v>
      </c>
      <c r="K161" t="s">
        <v>24</v>
      </c>
    </row>
    <row r="162" spans="1:11" x14ac:dyDescent="0.2">
      <c r="A162">
        <v>5312</v>
      </c>
      <c r="B162" t="s">
        <v>258</v>
      </c>
      <c r="C162" t="s">
        <v>12</v>
      </c>
      <c r="D162" t="s">
        <v>12</v>
      </c>
      <c r="E162">
        <v>0</v>
      </c>
      <c r="F162" t="s">
        <v>13</v>
      </c>
      <c r="G162" t="s">
        <v>45</v>
      </c>
      <c r="H162" t="s">
        <v>61</v>
      </c>
      <c r="I162" t="s">
        <v>31</v>
      </c>
      <c r="J162" t="s">
        <v>27</v>
      </c>
      <c r="K162" t="s">
        <v>347</v>
      </c>
    </row>
    <row r="163" spans="1:11" x14ac:dyDescent="0.2">
      <c r="A163">
        <v>9456</v>
      </c>
      <c r="B163" t="s">
        <v>258</v>
      </c>
      <c r="C163" t="s">
        <v>12</v>
      </c>
      <c r="D163" t="s">
        <v>12</v>
      </c>
      <c r="E163">
        <v>0</v>
      </c>
      <c r="F163" t="s">
        <v>13</v>
      </c>
      <c r="G163" t="s">
        <v>29</v>
      </c>
      <c r="H163" t="s">
        <v>25</v>
      </c>
      <c r="I163" t="s">
        <v>26</v>
      </c>
      <c r="J163" t="s">
        <v>38</v>
      </c>
      <c r="K163" t="s">
        <v>348</v>
      </c>
    </row>
    <row r="164" spans="1:11" x14ac:dyDescent="0.2">
      <c r="A164">
        <v>9745</v>
      </c>
      <c r="B164" t="s">
        <v>258</v>
      </c>
      <c r="C164" t="s">
        <v>12</v>
      </c>
      <c r="D164" t="s">
        <v>12</v>
      </c>
      <c r="E164">
        <v>0</v>
      </c>
      <c r="F164" t="s">
        <v>13</v>
      </c>
      <c r="G164" t="s">
        <v>14</v>
      </c>
      <c r="H164" t="s">
        <v>25</v>
      </c>
      <c r="I164" t="s">
        <v>26</v>
      </c>
      <c r="J164" t="s">
        <v>38</v>
      </c>
      <c r="K164" t="s">
        <v>349</v>
      </c>
    </row>
    <row r="165" spans="1:11" x14ac:dyDescent="0.2">
      <c r="A165">
        <v>4750</v>
      </c>
      <c r="B165" t="s">
        <v>258</v>
      </c>
      <c r="C165" t="s">
        <v>12</v>
      </c>
      <c r="D165" t="s">
        <v>12</v>
      </c>
      <c r="E165">
        <v>0</v>
      </c>
      <c r="F165" t="s">
        <v>13</v>
      </c>
      <c r="G165" t="s">
        <v>45</v>
      </c>
      <c r="H165" t="s">
        <v>61</v>
      </c>
      <c r="I165" t="s">
        <v>31</v>
      </c>
      <c r="J165" t="s">
        <v>88</v>
      </c>
      <c r="K165" t="s">
        <v>350</v>
      </c>
    </row>
    <row r="166" spans="1:11" x14ac:dyDescent="0.2">
      <c r="A166">
        <v>6522</v>
      </c>
      <c r="B166" t="s">
        <v>258</v>
      </c>
      <c r="C166" t="s">
        <v>12</v>
      </c>
      <c r="D166" t="s">
        <v>12</v>
      </c>
      <c r="E166">
        <v>0</v>
      </c>
      <c r="F166" t="s">
        <v>13</v>
      </c>
      <c r="G166" t="s">
        <v>14</v>
      </c>
      <c r="I166" t="s">
        <v>37</v>
      </c>
      <c r="J166" t="s">
        <v>17</v>
      </c>
      <c r="K166" t="s">
        <v>351</v>
      </c>
    </row>
    <row r="167" spans="1:11" x14ac:dyDescent="0.2">
      <c r="A167">
        <v>2343</v>
      </c>
      <c r="B167" t="s">
        <v>258</v>
      </c>
      <c r="C167" t="s">
        <v>19</v>
      </c>
      <c r="D167" t="s">
        <v>20</v>
      </c>
      <c r="E167">
        <v>1</v>
      </c>
      <c r="F167" t="s">
        <v>392</v>
      </c>
      <c r="G167" t="s">
        <v>21</v>
      </c>
      <c r="H167" t="s">
        <v>133</v>
      </c>
      <c r="I167" t="s">
        <v>23</v>
      </c>
      <c r="J167" t="s">
        <v>27</v>
      </c>
      <c r="K167" t="s">
        <v>352</v>
      </c>
    </row>
    <row r="168" spans="1:11" x14ac:dyDescent="0.2">
      <c r="A168">
        <v>9730</v>
      </c>
      <c r="B168" t="s">
        <v>258</v>
      </c>
      <c r="C168" t="s">
        <v>12</v>
      </c>
      <c r="D168" t="s">
        <v>12</v>
      </c>
      <c r="E168">
        <v>0</v>
      </c>
      <c r="F168" t="s">
        <v>13</v>
      </c>
      <c r="G168" t="s">
        <v>56</v>
      </c>
      <c r="H168" t="s">
        <v>25</v>
      </c>
      <c r="I168" t="s">
        <v>26</v>
      </c>
      <c r="J168" t="s">
        <v>38</v>
      </c>
      <c r="K168" t="s">
        <v>139</v>
      </c>
    </row>
    <row r="169" spans="1:11" x14ac:dyDescent="0.2">
      <c r="A169">
        <v>2000</v>
      </c>
      <c r="B169" t="s">
        <v>258</v>
      </c>
      <c r="C169" t="s">
        <v>19</v>
      </c>
      <c r="D169" t="s">
        <v>20</v>
      </c>
      <c r="E169">
        <v>1</v>
      </c>
      <c r="F169" t="s">
        <v>392</v>
      </c>
      <c r="G169" t="s">
        <v>21</v>
      </c>
      <c r="H169" t="s">
        <v>84</v>
      </c>
      <c r="I169" t="s">
        <v>23</v>
      </c>
      <c r="J169" t="s">
        <v>65</v>
      </c>
      <c r="K169" t="s">
        <v>353</v>
      </c>
    </row>
    <row r="170" spans="1:11" x14ac:dyDescent="0.2">
      <c r="A170">
        <v>3329</v>
      </c>
      <c r="B170" t="s">
        <v>258</v>
      </c>
      <c r="C170" t="s">
        <v>12</v>
      </c>
      <c r="D170" t="s">
        <v>20</v>
      </c>
      <c r="E170">
        <v>1</v>
      </c>
      <c r="F170" t="s">
        <v>392</v>
      </c>
      <c r="G170" t="s">
        <v>21</v>
      </c>
      <c r="H170" t="s">
        <v>73</v>
      </c>
      <c r="I170" t="s">
        <v>26</v>
      </c>
      <c r="J170" t="s">
        <v>32</v>
      </c>
      <c r="K170" t="s">
        <v>66</v>
      </c>
    </row>
    <row r="171" spans="1:11" x14ac:dyDescent="0.2">
      <c r="A171">
        <v>7837</v>
      </c>
      <c r="B171" t="s">
        <v>258</v>
      </c>
      <c r="C171" t="s">
        <v>12</v>
      </c>
      <c r="D171" t="s">
        <v>12</v>
      </c>
      <c r="E171">
        <v>0</v>
      </c>
      <c r="F171" t="s">
        <v>13</v>
      </c>
      <c r="G171" t="s">
        <v>29</v>
      </c>
      <c r="I171" t="s">
        <v>31</v>
      </c>
      <c r="J171" t="s">
        <v>24</v>
      </c>
      <c r="K171" t="s">
        <v>126</v>
      </c>
    </row>
    <row r="172" spans="1:11" x14ac:dyDescent="0.2">
      <c r="A172">
        <v>8919</v>
      </c>
      <c r="B172" t="s">
        <v>258</v>
      </c>
      <c r="C172" t="s">
        <v>19</v>
      </c>
      <c r="D172" t="s">
        <v>20</v>
      </c>
      <c r="E172">
        <v>1</v>
      </c>
      <c r="F172" t="s">
        <v>392</v>
      </c>
      <c r="G172" t="s">
        <v>21</v>
      </c>
      <c r="H172" t="s">
        <v>113</v>
      </c>
      <c r="I172" t="s">
        <v>16</v>
      </c>
      <c r="J172" t="s">
        <v>27</v>
      </c>
      <c r="K172" t="s">
        <v>352</v>
      </c>
    </row>
    <row r="173" spans="1:11" x14ac:dyDescent="0.2">
      <c r="A173">
        <v>10164</v>
      </c>
      <c r="B173" t="s">
        <v>258</v>
      </c>
      <c r="C173" t="s">
        <v>12</v>
      </c>
      <c r="D173" t="s">
        <v>12</v>
      </c>
      <c r="E173">
        <v>0</v>
      </c>
      <c r="F173" t="s">
        <v>13</v>
      </c>
      <c r="G173" t="s">
        <v>21</v>
      </c>
      <c r="H173" t="s">
        <v>25</v>
      </c>
      <c r="I173" t="s">
        <v>26</v>
      </c>
      <c r="J173" t="s">
        <v>27</v>
      </c>
      <c r="K173" t="s">
        <v>354</v>
      </c>
    </row>
    <row r="174" spans="1:11" x14ac:dyDescent="0.2">
      <c r="A174">
        <v>4086</v>
      </c>
      <c r="B174" t="s">
        <v>258</v>
      </c>
      <c r="C174" t="s">
        <v>19</v>
      </c>
      <c r="D174" t="s">
        <v>20</v>
      </c>
      <c r="E174">
        <v>1</v>
      </c>
      <c r="F174" t="s">
        <v>392</v>
      </c>
      <c r="G174" t="s">
        <v>21</v>
      </c>
      <c r="H174" t="s">
        <v>91</v>
      </c>
      <c r="I174" t="s">
        <v>26</v>
      </c>
      <c r="J174" t="s">
        <v>27</v>
      </c>
      <c r="K174" t="s">
        <v>27</v>
      </c>
    </row>
    <row r="175" spans="1:11" x14ac:dyDescent="0.2">
      <c r="A175">
        <v>10166</v>
      </c>
      <c r="B175" t="s">
        <v>258</v>
      </c>
      <c r="C175" t="s">
        <v>12</v>
      </c>
      <c r="D175" t="s">
        <v>12</v>
      </c>
      <c r="E175">
        <v>0</v>
      </c>
      <c r="F175" t="s">
        <v>13</v>
      </c>
      <c r="G175" t="s">
        <v>29</v>
      </c>
      <c r="H175" t="s">
        <v>25</v>
      </c>
      <c r="I175" t="s">
        <v>26</v>
      </c>
      <c r="J175" t="s">
        <v>38</v>
      </c>
      <c r="K175" t="s">
        <v>355</v>
      </c>
    </row>
    <row r="176" spans="1:11" x14ac:dyDescent="0.2">
      <c r="A176">
        <v>10014</v>
      </c>
      <c r="B176" t="s">
        <v>258</v>
      </c>
      <c r="C176" t="s">
        <v>12</v>
      </c>
      <c r="D176" t="s">
        <v>12</v>
      </c>
      <c r="E176">
        <v>0</v>
      </c>
      <c r="F176" t="s">
        <v>13</v>
      </c>
      <c r="G176" t="s">
        <v>29</v>
      </c>
      <c r="H176" t="s">
        <v>25</v>
      </c>
      <c r="I176" t="s">
        <v>26</v>
      </c>
      <c r="J176" t="s">
        <v>38</v>
      </c>
      <c r="K176" t="s">
        <v>356</v>
      </c>
    </row>
    <row r="177" spans="1:11" x14ac:dyDescent="0.2">
      <c r="A177">
        <v>6026</v>
      </c>
      <c r="B177" t="s">
        <v>258</v>
      </c>
      <c r="C177" t="s">
        <v>12</v>
      </c>
      <c r="D177" t="s">
        <v>12</v>
      </c>
      <c r="E177">
        <v>0</v>
      </c>
      <c r="F177" t="s">
        <v>13</v>
      </c>
      <c r="G177" t="s">
        <v>14</v>
      </c>
      <c r="H177" t="s">
        <v>51</v>
      </c>
      <c r="I177" t="s">
        <v>52</v>
      </c>
      <c r="J177" t="s">
        <v>27</v>
      </c>
      <c r="K177" t="s">
        <v>357</v>
      </c>
    </row>
    <row r="178" spans="1:11" x14ac:dyDescent="0.2">
      <c r="A178">
        <v>7788</v>
      </c>
      <c r="B178" t="s">
        <v>258</v>
      </c>
      <c r="C178" t="s">
        <v>12</v>
      </c>
      <c r="D178" t="s">
        <v>12</v>
      </c>
      <c r="E178">
        <v>0</v>
      </c>
      <c r="F178" t="s">
        <v>13</v>
      </c>
      <c r="G178" t="s">
        <v>56</v>
      </c>
      <c r="H178" t="s">
        <v>113</v>
      </c>
      <c r="I178" t="s">
        <v>16</v>
      </c>
      <c r="J178" t="s">
        <v>65</v>
      </c>
      <c r="K178" t="s">
        <v>201</v>
      </c>
    </row>
    <row r="179" spans="1:11" x14ac:dyDescent="0.2">
      <c r="A179">
        <v>273</v>
      </c>
      <c r="B179" t="s">
        <v>258</v>
      </c>
      <c r="C179" t="s">
        <v>19</v>
      </c>
      <c r="D179" t="s">
        <v>19</v>
      </c>
      <c r="E179">
        <v>0</v>
      </c>
      <c r="F179" t="s">
        <v>394</v>
      </c>
      <c r="G179" t="s">
        <v>21</v>
      </c>
      <c r="H179" t="s">
        <v>232</v>
      </c>
      <c r="I179" t="s">
        <v>23</v>
      </c>
      <c r="J179" t="s">
        <v>40</v>
      </c>
      <c r="K179" t="s">
        <v>41</v>
      </c>
    </row>
    <row r="180" spans="1:11" x14ac:dyDescent="0.2">
      <c r="A180">
        <v>3253</v>
      </c>
      <c r="B180" t="s">
        <v>258</v>
      </c>
      <c r="C180" t="s">
        <v>12</v>
      </c>
      <c r="D180" t="s">
        <v>12</v>
      </c>
      <c r="E180">
        <v>0</v>
      </c>
      <c r="F180" t="s">
        <v>13</v>
      </c>
      <c r="G180" t="s">
        <v>29</v>
      </c>
      <c r="I180" t="s">
        <v>37</v>
      </c>
      <c r="J180" t="s">
        <v>17</v>
      </c>
      <c r="K180" t="s">
        <v>358</v>
      </c>
    </row>
    <row r="181" spans="1:11" x14ac:dyDescent="0.2">
      <c r="A181">
        <v>1058</v>
      </c>
      <c r="B181" t="s">
        <v>258</v>
      </c>
      <c r="C181" t="s">
        <v>12</v>
      </c>
      <c r="D181" t="s">
        <v>12</v>
      </c>
      <c r="E181">
        <v>0</v>
      </c>
      <c r="F181" t="s">
        <v>13</v>
      </c>
      <c r="G181" t="s">
        <v>45</v>
      </c>
      <c r="H181" t="s">
        <v>128</v>
      </c>
      <c r="I181" t="s">
        <v>52</v>
      </c>
      <c r="J181" t="s">
        <v>27</v>
      </c>
      <c r="K181" t="s">
        <v>359</v>
      </c>
    </row>
    <row r="182" spans="1:11" x14ac:dyDescent="0.2">
      <c r="A182">
        <v>9561</v>
      </c>
      <c r="B182" t="s">
        <v>258</v>
      </c>
      <c r="C182" t="s">
        <v>19</v>
      </c>
      <c r="D182" t="s">
        <v>19</v>
      </c>
      <c r="E182">
        <v>0</v>
      </c>
      <c r="F182" t="s">
        <v>13</v>
      </c>
      <c r="G182" t="s">
        <v>21</v>
      </c>
      <c r="H182" t="s">
        <v>25</v>
      </c>
      <c r="I182" t="s">
        <v>26</v>
      </c>
      <c r="J182" t="s">
        <v>38</v>
      </c>
      <c r="K182" t="s">
        <v>268</v>
      </c>
    </row>
    <row r="183" spans="1:11" x14ac:dyDescent="0.2">
      <c r="A183">
        <v>2838</v>
      </c>
      <c r="B183" t="s">
        <v>258</v>
      </c>
      <c r="C183" t="s">
        <v>19</v>
      </c>
      <c r="D183" t="s">
        <v>19</v>
      </c>
      <c r="E183">
        <v>0</v>
      </c>
      <c r="F183" t="s">
        <v>394</v>
      </c>
      <c r="G183" t="s">
        <v>21</v>
      </c>
      <c r="H183" t="s">
        <v>58</v>
      </c>
      <c r="I183" t="s">
        <v>52</v>
      </c>
      <c r="J183" t="s">
        <v>48</v>
      </c>
      <c r="K183" t="s">
        <v>360</v>
      </c>
    </row>
    <row r="184" spans="1:11" x14ac:dyDescent="0.2">
      <c r="A184">
        <v>2180</v>
      </c>
      <c r="B184" t="s">
        <v>258</v>
      </c>
      <c r="C184" t="s">
        <v>12</v>
      </c>
      <c r="D184" t="s">
        <v>12</v>
      </c>
      <c r="E184">
        <v>0</v>
      </c>
      <c r="F184" t="s">
        <v>34</v>
      </c>
      <c r="G184" t="s">
        <v>29</v>
      </c>
      <c r="H184" t="s">
        <v>85</v>
      </c>
      <c r="I184" t="s">
        <v>23</v>
      </c>
      <c r="J184" t="s">
        <v>17</v>
      </c>
      <c r="K184" t="s">
        <v>224</v>
      </c>
    </row>
    <row r="185" spans="1:11" x14ac:dyDescent="0.2">
      <c r="A185">
        <v>8397</v>
      </c>
      <c r="B185" t="s">
        <v>258</v>
      </c>
      <c r="C185" t="s">
        <v>12</v>
      </c>
      <c r="D185" t="s">
        <v>12</v>
      </c>
      <c r="E185">
        <v>0</v>
      </c>
      <c r="F185" t="s">
        <v>13</v>
      </c>
      <c r="G185" t="s">
        <v>21</v>
      </c>
      <c r="H185" t="s">
        <v>57</v>
      </c>
      <c r="I185" t="s">
        <v>31</v>
      </c>
      <c r="J185" t="s">
        <v>17</v>
      </c>
      <c r="K185" t="s">
        <v>361</v>
      </c>
    </row>
    <row r="186" spans="1:11" x14ac:dyDescent="0.2">
      <c r="A186">
        <v>4136</v>
      </c>
      <c r="B186" t="s">
        <v>258</v>
      </c>
      <c r="C186" t="s">
        <v>12</v>
      </c>
      <c r="D186" t="s">
        <v>20</v>
      </c>
      <c r="E186">
        <v>1</v>
      </c>
      <c r="F186" t="s">
        <v>392</v>
      </c>
      <c r="G186" t="s">
        <v>21</v>
      </c>
      <c r="H186" t="s">
        <v>49</v>
      </c>
      <c r="I186" t="s">
        <v>16</v>
      </c>
      <c r="J186" t="s">
        <v>40</v>
      </c>
      <c r="K186" t="s">
        <v>40</v>
      </c>
    </row>
    <row r="187" spans="1:11" x14ac:dyDescent="0.2">
      <c r="A187">
        <v>2917</v>
      </c>
      <c r="B187" t="s">
        <v>258</v>
      </c>
      <c r="C187" t="s">
        <v>12</v>
      </c>
      <c r="D187" t="s">
        <v>12</v>
      </c>
      <c r="E187">
        <v>0</v>
      </c>
      <c r="F187" t="s">
        <v>34</v>
      </c>
      <c r="G187" t="s">
        <v>56</v>
      </c>
      <c r="H187" t="s">
        <v>49</v>
      </c>
      <c r="I187" t="s">
        <v>16</v>
      </c>
      <c r="J187" t="s">
        <v>24</v>
      </c>
      <c r="K187" t="s">
        <v>362</v>
      </c>
    </row>
    <row r="188" spans="1:11" x14ac:dyDescent="0.2">
      <c r="A188">
        <v>6737</v>
      </c>
      <c r="B188" t="s">
        <v>258</v>
      </c>
      <c r="C188" t="s">
        <v>12</v>
      </c>
      <c r="D188" t="s">
        <v>12</v>
      </c>
      <c r="E188">
        <v>0</v>
      </c>
      <c r="F188" t="s">
        <v>13</v>
      </c>
      <c r="G188" t="s">
        <v>29</v>
      </c>
      <c r="H188" t="s">
        <v>61</v>
      </c>
      <c r="I188" t="s">
        <v>31</v>
      </c>
      <c r="J188" t="s">
        <v>32</v>
      </c>
      <c r="K188" t="s">
        <v>33</v>
      </c>
    </row>
    <row r="189" spans="1:11" x14ac:dyDescent="0.2">
      <c r="A189">
        <v>9366</v>
      </c>
      <c r="B189" t="s">
        <v>258</v>
      </c>
      <c r="C189" t="s">
        <v>12</v>
      </c>
      <c r="D189" t="s">
        <v>12</v>
      </c>
      <c r="E189">
        <v>0</v>
      </c>
      <c r="F189" t="s">
        <v>13</v>
      </c>
      <c r="G189" t="s">
        <v>29</v>
      </c>
      <c r="H189" t="s">
        <v>25</v>
      </c>
      <c r="I189" t="s">
        <v>26</v>
      </c>
      <c r="J189" t="s">
        <v>38</v>
      </c>
      <c r="K189" t="s">
        <v>268</v>
      </c>
    </row>
    <row r="190" spans="1:11" x14ac:dyDescent="0.2">
      <c r="A190">
        <v>1758</v>
      </c>
      <c r="B190" t="s">
        <v>258</v>
      </c>
      <c r="C190" t="s">
        <v>12</v>
      </c>
      <c r="D190" t="s">
        <v>12</v>
      </c>
      <c r="E190">
        <v>0</v>
      </c>
      <c r="F190" t="s">
        <v>34</v>
      </c>
      <c r="G190" t="s">
        <v>56</v>
      </c>
      <c r="H190" t="s">
        <v>128</v>
      </c>
      <c r="I190" t="s">
        <v>23</v>
      </c>
      <c r="J190" t="s">
        <v>164</v>
      </c>
      <c r="K190" t="s">
        <v>156</v>
      </c>
    </row>
    <row r="191" spans="1:11" x14ac:dyDescent="0.2">
      <c r="A191">
        <v>3675</v>
      </c>
      <c r="B191" t="s">
        <v>258</v>
      </c>
      <c r="C191" t="s">
        <v>12</v>
      </c>
      <c r="D191" t="s">
        <v>12</v>
      </c>
      <c r="E191">
        <v>0</v>
      </c>
      <c r="F191" t="s">
        <v>394</v>
      </c>
      <c r="G191" t="s">
        <v>37</v>
      </c>
      <c r="H191" t="s">
        <v>85</v>
      </c>
      <c r="I191" t="s">
        <v>23</v>
      </c>
      <c r="J191" t="s">
        <v>40</v>
      </c>
      <c r="K191" t="s">
        <v>363</v>
      </c>
    </row>
    <row r="192" spans="1:11" x14ac:dyDescent="0.2">
      <c r="A192">
        <v>8509</v>
      </c>
      <c r="B192" t="s">
        <v>258</v>
      </c>
      <c r="C192" t="s">
        <v>12</v>
      </c>
      <c r="D192" t="s">
        <v>12</v>
      </c>
      <c r="E192">
        <v>0</v>
      </c>
      <c r="F192" t="s">
        <v>13</v>
      </c>
      <c r="G192" t="s">
        <v>21</v>
      </c>
      <c r="H192" t="s">
        <v>57</v>
      </c>
      <c r="I192" t="s">
        <v>31</v>
      </c>
      <c r="J192" t="s">
        <v>17</v>
      </c>
      <c r="K192" t="s">
        <v>364</v>
      </c>
    </row>
    <row r="193" spans="1:11" x14ac:dyDescent="0.2">
      <c r="A193">
        <v>10239</v>
      </c>
      <c r="B193" t="s">
        <v>258</v>
      </c>
      <c r="C193" t="s">
        <v>12</v>
      </c>
      <c r="D193" t="s">
        <v>12</v>
      </c>
      <c r="E193">
        <v>0</v>
      </c>
      <c r="F193" t="s">
        <v>34</v>
      </c>
      <c r="G193" t="s">
        <v>29</v>
      </c>
      <c r="H193" t="s">
        <v>102</v>
      </c>
      <c r="I193" t="s">
        <v>43</v>
      </c>
      <c r="J193" t="s">
        <v>17</v>
      </c>
      <c r="K193" t="s">
        <v>241</v>
      </c>
    </row>
    <row r="194" spans="1:11" x14ac:dyDescent="0.2">
      <c r="A194">
        <v>3159</v>
      </c>
      <c r="B194" t="s">
        <v>258</v>
      </c>
      <c r="C194" t="s">
        <v>19</v>
      </c>
      <c r="D194" t="s">
        <v>12</v>
      </c>
      <c r="E194">
        <v>1</v>
      </c>
      <c r="F194" t="s">
        <v>34</v>
      </c>
      <c r="G194" t="s">
        <v>21</v>
      </c>
      <c r="H194" t="s">
        <v>51</v>
      </c>
      <c r="I194" t="s">
        <v>52</v>
      </c>
      <c r="J194" t="s">
        <v>17</v>
      </c>
      <c r="K194" t="s">
        <v>365</v>
      </c>
    </row>
    <row r="195" spans="1:11" x14ac:dyDescent="0.2">
      <c r="A195">
        <v>3908</v>
      </c>
      <c r="B195" t="s">
        <v>258</v>
      </c>
      <c r="C195" t="s">
        <v>12</v>
      </c>
      <c r="D195" t="s">
        <v>12</v>
      </c>
      <c r="E195">
        <v>0</v>
      </c>
      <c r="F195" t="s">
        <v>13</v>
      </c>
      <c r="G195" t="s">
        <v>29</v>
      </c>
      <c r="H195" t="s">
        <v>49</v>
      </c>
      <c r="I195" t="s">
        <v>16</v>
      </c>
      <c r="J195" t="s">
        <v>55</v>
      </c>
      <c r="K195" t="s">
        <v>366</v>
      </c>
    </row>
    <row r="196" spans="1:11" x14ac:dyDescent="0.2">
      <c r="A196">
        <v>3968</v>
      </c>
      <c r="B196" t="s">
        <v>258</v>
      </c>
      <c r="C196" t="s">
        <v>12</v>
      </c>
      <c r="D196" t="s">
        <v>12</v>
      </c>
      <c r="E196">
        <v>0</v>
      </c>
      <c r="F196" t="s">
        <v>394</v>
      </c>
      <c r="G196" t="s">
        <v>14</v>
      </c>
      <c r="H196" t="s">
        <v>237</v>
      </c>
      <c r="I196" t="s">
        <v>26</v>
      </c>
      <c r="J196" t="s">
        <v>38</v>
      </c>
      <c r="K196" t="s">
        <v>59</v>
      </c>
    </row>
    <row r="197" spans="1:11" x14ac:dyDescent="0.2">
      <c r="A197">
        <v>10136</v>
      </c>
      <c r="B197" t="s">
        <v>258</v>
      </c>
      <c r="C197" t="s">
        <v>12</v>
      </c>
      <c r="D197" t="s">
        <v>12</v>
      </c>
      <c r="E197">
        <v>0</v>
      </c>
      <c r="F197" t="s">
        <v>394</v>
      </c>
      <c r="G197" t="s">
        <v>56</v>
      </c>
      <c r="I197" t="s">
        <v>37</v>
      </c>
      <c r="J197" t="s">
        <v>17</v>
      </c>
      <c r="K197" t="s">
        <v>327</v>
      </c>
    </row>
    <row r="198" spans="1:11" x14ac:dyDescent="0.2">
      <c r="A198">
        <v>2508</v>
      </c>
      <c r="B198" t="s">
        <v>258</v>
      </c>
      <c r="C198" t="s">
        <v>19</v>
      </c>
      <c r="D198" t="s">
        <v>19</v>
      </c>
      <c r="E198">
        <v>0</v>
      </c>
      <c r="F198" t="s">
        <v>394</v>
      </c>
      <c r="G198" t="s">
        <v>21</v>
      </c>
      <c r="H198" t="s">
        <v>57</v>
      </c>
      <c r="I198" t="s">
        <v>31</v>
      </c>
      <c r="J198" t="s">
        <v>38</v>
      </c>
      <c r="K198" t="s">
        <v>59</v>
      </c>
    </row>
    <row r="199" spans="1:11" x14ac:dyDescent="0.2">
      <c r="A199">
        <v>6988</v>
      </c>
      <c r="B199" t="s">
        <v>258</v>
      </c>
      <c r="C199" t="s">
        <v>12</v>
      </c>
      <c r="D199" t="s">
        <v>12</v>
      </c>
      <c r="E199">
        <v>0</v>
      </c>
      <c r="F199" t="s">
        <v>13</v>
      </c>
      <c r="G199" t="s">
        <v>14</v>
      </c>
      <c r="H199" t="s">
        <v>133</v>
      </c>
      <c r="I199" t="s">
        <v>23</v>
      </c>
      <c r="J199" t="s">
        <v>48</v>
      </c>
      <c r="K199" t="s">
        <v>367</v>
      </c>
    </row>
    <row r="200" spans="1:11" x14ac:dyDescent="0.2">
      <c r="A200">
        <v>10151</v>
      </c>
      <c r="B200" t="s">
        <v>258</v>
      </c>
      <c r="C200" t="s">
        <v>12</v>
      </c>
      <c r="D200" t="s">
        <v>12</v>
      </c>
      <c r="E200">
        <v>0</v>
      </c>
      <c r="F200" t="s">
        <v>13</v>
      </c>
      <c r="G200" t="s">
        <v>14</v>
      </c>
      <c r="I200" t="s">
        <v>26</v>
      </c>
      <c r="J200" t="s">
        <v>38</v>
      </c>
      <c r="K200" t="s">
        <v>368</v>
      </c>
    </row>
    <row r="201" spans="1:11" x14ac:dyDescent="0.2">
      <c r="A201">
        <v>6168</v>
      </c>
      <c r="B201" t="s">
        <v>258</v>
      </c>
      <c r="C201" t="s">
        <v>12</v>
      </c>
      <c r="D201" t="s">
        <v>20</v>
      </c>
      <c r="E201">
        <v>1</v>
      </c>
      <c r="F201" t="s">
        <v>392</v>
      </c>
      <c r="G201" t="s">
        <v>21</v>
      </c>
      <c r="I201" t="s">
        <v>23</v>
      </c>
      <c r="J201" t="s">
        <v>164</v>
      </c>
      <c r="K201" t="s">
        <v>193</v>
      </c>
    </row>
    <row r="202" spans="1:11" x14ac:dyDescent="0.2">
      <c r="A202">
        <v>777</v>
      </c>
      <c r="B202" t="s">
        <v>258</v>
      </c>
      <c r="C202" t="s">
        <v>12</v>
      </c>
      <c r="D202" t="s">
        <v>12</v>
      </c>
      <c r="E202">
        <v>0</v>
      </c>
      <c r="F202" t="s">
        <v>13</v>
      </c>
      <c r="G202" t="s">
        <v>14</v>
      </c>
      <c r="H202" t="s">
        <v>51</v>
      </c>
      <c r="I202" t="s">
        <v>52</v>
      </c>
      <c r="J202" t="s">
        <v>38</v>
      </c>
      <c r="K202" t="s">
        <v>291</v>
      </c>
    </row>
    <row r="203" spans="1:11" x14ac:dyDescent="0.2">
      <c r="A203">
        <v>2522</v>
      </c>
      <c r="B203" t="s">
        <v>258</v>
      </c>
      <c r="C203" t="s">
        <v>12</v>
      </c>
      <c r="D203" t="s">
        <v>12</v>
      </c>
      <c r="E203">
        <v>0</v>
      </c>
      <c r="F203" t="s">
        <v>13</v>
      </c>
      <c r="G203" t="s">
        <v>29</v>
      </c>
      <c r="H203" t="s">
        <v>81</v>
      </c>
      <c r="I203" t="s">
        <v>31</v>
      </c>
      <c r="J203" t="s">
        <v>32</v>
      </c>
      <c r="K203" t="s">
        <v>369</v>
      </c>
    </row>
    <row r="204" spans="1:11" x14ac:dyDescent="0.2">
      <c r="A204">
        <v>1485</v>
      </c>
      <c r="B204" t="s">
        <v>258</v>
      </c>
      <c r="C204" t="s">
        <v>12</v>
      </c>
      <c r="D204" t="s">
        <v>12</v>
      </c>
      <c r="E204">
        <v>0</v>
      </c>
      <c r="F204" t="s">
        <v>13</v>
      </c>
      <c r="G204" t="s">
        <v>14</v>
      </c>
      <c r="I204" t="s">
        <v>37</v>
      </c>
      <c r="J204" t="s">
        <v>48</v>
      </c>
      <c r="K204" t="s">
        <v>370</v>
      </c>
    </row>
    <row r="205" spans="1:11" x14ac:dyDescent="0.2">
      <c r="A205">
        <v>9447</v>
      </c>
      <c r="B205" t="s">
        <v>258</v>
      </c>
      <c r="C205" t="s">
        <v>12</v>
      </c>
      <c r="D205" t="s">
        <v>12</v>
      </c>
      <c r="E205">
        <v>0</v>
      </c>
      <c r="F205" t="s">
        <v>13</v>
      </c>
      <c r="G205" t="s">
        <v>29</v>
      </c>
      <c r="H205" t="s">
        <v>25</v>
      </c>
      <c r="I205" t="s">
        <v>26</v>
      </c>
      <c r="J205" t="s">
        <v>38</v>
      </c>
      <c r="K205" t="s">
        <v>285</v>
      </c>
    </row>
    <row r="206" spans="1:11" x14ac:dyDescent="0.2">
      <c r="A206">
        <v>4865</v>
      </c>
      <c r="B206" t="s">
        <v>258</v>
      </c>
      <c r="C206" t="s">
        <v>19</v>
      </c>
      <c r="D206" t="s">
        <v>19</v>
      </c>
      <c r="E206">
        <v>0</v>
      </c>
      <c r="F206" t="s">
        <v>13</v>
      </c>
      <c r="G206" t="s">
        <v>21</v>
      </c>
      <c r="H206" t="s">
        <v>84</v>
      </c>
      <c r="I206" t="s">
        <v>23</v>
      </c>
      <c r="J206" t="s">
        <v>17</v>
      </c>
      <c r="K206" t="s">
        <v>371</v>
      </c>
    </row>
    <row r="207" spans="1:11" x14ac:dyDescent="0.2">
      <c r="A207">
        <v>5800</v>
      </c>
      <c r="B207" t="s">
        <v>258</v>
      </c>
      <c r="C207" t="s">
        <v>19</v>
      </c>
      <c r="D207" t="s">
        <v>19</v>
      </c>
      <c r="E207">
        <v>0</v>
      </c>
      <c r="F207" t="s">
        <v>13</v>
      </c>
      <c r="G207" t="s">
        <v>21</v>
      </c>
      <c r="H207" t="s">
        <v>134</v>
      </c>
      <c r="I207" t="s">
        <v>31</v>
      </c>
      <c r="J207" t="s">
        <v>24</v>
      </c>
      <c r="K207" t="s">
        <v>103</v>
      </c>
    </row>
    <row r="208" spans="1:11" x14ac:dyDescent="0.2">
      <c r="A208">
        <v>5476</v>
      </c>
      <c r="B208" t="s">
        <v>258</v>
      </c>
      <c r="C208" t="s">
        <v>12</v>
      </c>
      <c r="D208" t="s">
        <v>12</v>
      </c>
      <c r="E208">
        <v>0</v>
      </c>
      <c r="F208" t="s">
        <v>394</v>
      </c>
      <c r="G208" t="s">
        <v>14</v>
      </c>
      <c r="I208" t="s">
        <v>23</v>
      </c>
      <c r="J208" t="s">
        <v>164</v>
      </c>
      <c r="K208" t="s">
        <v>372</v>
      </c>
    </row>
    <row r="209" spans="1:11" x14ac:dyDescent="0.2">
      <c r="A209">
        <v>6315</v>
      </c>
      <c r="B209" t="s">
        <v>258</v>
      </c>
      <c r="C209" t="s">
        <v>19</v>
      </c>
      <c r="D209" t="s">
        <v>19</v>
      </c>
      <c r="E209">
        <v>0</v>
      </c>
      <c r="F209" t="s">
        <v>394</v>
      </c>
      <c r="G209" t="s">
        <v>21</v>
      </c>
      <c r="I209" t="s">
        <v>23</v>
      </c>
      <c r="J209" t="s">
        <v>164</v>
      </c>
      <c r="K209" t="s">
        <v>373</v>
      </c>
    </row>
    <row r="210" spans="1:11" x14ac:dyDescent="0.2">
      <c r="A210">
        <v>8159</v>
      </c>
      <c r="B210" t="s">
        <v>258</v>
      </c>
      <c r="C210" t="s">
        <v>12</v>
      </c>
      <c r="D210" t="s">
        <v>12</v>
      </c>
      <c r="E210">
        <v>0</v>
      </c>
      <c r="F210" t="s">
        <v>13</v>
      </c>
      <c r="G210" t="s">
        <v>29</v>
      </c>
      <c r="H210" t="s">
        <v>61</v>
      </c>
      <c r="I210" t="s">
        <v>31</v>
      </c>
      <c r="J210" t="s">
        <v>27</v>
      </c>
      <c r="K210" t="s">
        <v>374</v>
      </c>
    </row>
    <row r="211" spans="1:11" x14ac:dyDescent="0.2">
      <c r="A211">
        <v>1975</v>
      </c>
      <c r="B211" t="s">
        <v>258</v>
      </c>
      <c r="C211" t="s">
        <v>12</v>
      </c>
      <c r="D211" t="s">
        <v>12</v>
      </c>
      <c r="E211">
        <v>0</v>
      </c>
      <c r="F211" t="s">
        <v>13</v>
      </c>
      <c r="G211" t="s">
        <v>45</v>
      </c>
      <c r="H211" t="s">
        <v>67</v>
      </c>
      <c r="I211" t="s">
        <v>43</v>
      </c>
      <c r="J211" t="s">
        <v>32</v>
      </c>
      <c r="K211" t="s">
        <v>375</v>
      </c>
    </row>
    <row r="212" spans="1:11" x14ac:dyDescent="0.2">
      <c r="A212">
        <v>3570</v>
      </c>
      <c r="B212" t="s">
        <v>258</v>
      </c>
      <c r="C212" t="s">
        <v>19</v>
      </c>
      <c r="D212" t="s">
        <v>20</v>
      </c>
      <c r="E212">
        <v>1</v>
      </c>
      <c r="F212" t="s">
        <v>392</v>
      </c>
      <c r="G212" t="s">
        <v>21</v>
      </c>
      <c r="H212" t="s">
        <v>30</v>
      </c>
      <c r="I212" t="s">
        <v>31</v>
      </c>
      <c r="J212" t="s">
        <v>40</v>
      </c>
      <c r="K212" t="s">
        <v>41</v>
      </c>
    </row>
    <row r="213" spans="1:11" x14ac:dyDescent="0.2">
      <c r="A213">
        <v>10182</v>
      </c>
      <c r="B213" t="s">
        <v>258</v>
      </c>
      <c r="C213" t="s">
        <v>12</v>
      </c>
      <c r="D213" t="s">
        <v>12</v>
      </c>
      <c r="E213">
        <v>0</v>
      </c>
      <c r="F213" t="s">
        <v>13</v>
      </c>
      <c r="G213" t="s">
        <v>29</v>
      </c>
      <c r="H213" t="s">
        <v>25</v>
      </c>
      <c r="I213" t="s">
        <v>26</v>
      </c>
      <c r="J213" t="s">
        <v>38</v>
      </c>
      <c r="K213" t="s">
        <v>139</v>
      </c>
    </row>
    <row r="214" spans="1:11" x14ac:dyDescent="0.2">
      <c r="A214">
        <v>3377</v>
      </c>
      <c r="B214" t="s">
        <v>258</v>
      </c>
      <c r="C214" t="s">
        <v>12</v>
      </c>
      <c r="D214" t="s">
        <v>12</v>
      </c>
      <c r="E214">
        <v>0</v>
      </c>
      <c r="F214" t="s">
        <v>13</v>
      </c>
      <c r="G214" t="s">
        <v>14</v>
      </c>
      <c r="H214" t="s">
        <v>51</v>
      </c>
      <c r="I214" t="s">
        <v>52</v>
      </c>
      <c r="J214" t="s">
        <v>24</v>
      </c>
      <c r="K214" t="s">
        <v>376</v>
      </c>
    </row>
    <row r="215" spans="1:11" x14ac:dyDescent="0.2">
      <c r="A215">
        <v>264</v>
      </c>
      <c r="B215" t="s">
        <v>258</v>
      </c>
      <c r="C215" t="s">
        <v>19</v>
      </c>
      <c r="D215" t="s">
        <v>19</v>
      </c>
      <c r="E215">
        <v>0</v>
      </c>
      <c r="F215" t="s">
        <v>13</v>
      </c>
      <c r="G215" t="s">
        <v>21</v>
      </c>
      <c r="H215" t="s">
        <v>133</v>
      </c>
      <c r="I215" t="s">
        <v>23</v>
      </c>
      <c r="J215" t="s">
        <v>38</v>
      </c>
      <c r="K215" t="s">
        <v>377</v>
      </c>
    </row>
    <row r="216" spans="1:11" x14ac:dyDescent="0.2">
      <c r="A216">
        <v>6613</v>
      </c>
      <c r="B216" t="s">
        <v>258</v>
      </c>
      <c r="C216" t="s">
        <v>12</v>
      </c>
      <c r="D216" t="s">
        <v>12</v>
      </c>
      <c r="E216">
        <v>0</v>
      </c>
      <c r="F216" t="s">
        <v>13</v>
      </c>
      <c r="G216" t="s">
        <v>56</v>
      </c>
      <c r="I216" t="s">
        <v>37</v>
      </c>
      <c r="J216" t="s">
        <v>17</v>
      </c>
      <c r="K216" t="s">
        <v>50</v>
      </c>
    </row>
    <row r="217" spans="1:11" x14ac:dyDescent="0.2">
      <c r="A217">
        <v>7995</v>
      </c>
      <c r="B217" t="s">
        <v>258</v>
      </c>
      <c r="C217" t="s">
        <v>19</v>
      </c>
      <c r="D217" t="s">
        <v>20</v>
      </c>
      <c r="E217">
        <v>1</v>
      </c>
      <c r="F217" t="s">
        <v>392</v>
      </c>
      <c r="G217" t="s">
        <v>21</v>
      </c>
      <c r="H217" t="s">
        <v>49</v>
      </c>
      <c r="I217" t="s">
        <v>16</v>
      </c>
      <c r="J217" t="s">
        <v>27</v>
      </c>
      <c r="K217" t="s">
        <v>27</v>
      </c>
    </row>
    <row r="218" spans="1:11" x14ac:dyDescent="0.2">
      <c r="A218">
        <v>6971</v>
      </c>
      <c r="B218" t="s">
        <v>258</v>
      </c>
      <c r="C218" t="s">
        <v>12</v>
      </c>
      <c r="D218" t="s">
        <v>12</v>
      </c>
      <c r="E218">
        <v>0</v>
      </c>
      <c r="F218" t="s">
        <v>13</v>
      </c>
      <c r="G218" t="s">
        <v>45</v>
      </c>
      <c r="H218" t="s">
        <v>113</v>
      </c>
      <c r="I218" t="s">
        <v>16</v>
      </c>
      <c r="J218" t="s">
        <v>32</v>
      </c>
      <c r="K218" t="s">
        <v>378</v>
      </c>
    </row>
    <row r="219" spans="1:11" x14ac:dyDescent="0.2">
      <c r="A219">
        <v>4653</v>
      </c>
      <c r="B219" t="s">
        <v>258</v>
      </c>
      <c r="C219" t="s">
        <v>12</v>
      </c>
      <c r="D219" t="s">
        <v>12</v>
      </c>
      <c r="E219">
        <v>0</v>
      </c>
      <c r="F219" t="s">
        <v>13</v>
      </c>
      <c r="G219" t="s">
        <v>29</v>
      </c>
      <c r="H219" t="s">
        <v>25</v>
      </c>
      <c r="I219" t="s">
        <v>26</v>
      </c>
      <c r="J219" t="s">
        <v>38</v>
      </c>
      <c r="K219" t="s">
        <v>379</v>
      </c>
    </row>
    <row r="220" spans="1:11" x14ac:dyDescent="0.2">
      <c r="A220">
        <v>4335</v>
      </c>
      <c r="B220" t="s">
        <v>258</v>
      </c>
      <c r="C220" t="s">
        <v>12</v>
      </c>
      <c r="D220" t="s">
        <v>12</v>
      </c>
      <c r="E220">
        <v>0</v>
      </c>
      <c r="F220" t="s">
        <v>13</v>
      </c>
      <c r="G220" t="s">
        <v>45</v>
      </c>
      <c r="H220" t="s">
        <v>30</v>
      </c>
      <c r="I220" t="s">
        <v>31</v>
      </c>
      <c r="J220" t="s">
        <v>38</v>
      </c>
      <c r="K220" t="s">
        <v>380</v>
      </c>
    </row>
    <row r="221" spans="1:11" x14ac:dyDescent="0.2">
      <c r="A221">
        <v>1915</v>
      </c>
      <c r="B221" t="s">
        <v>258</v>
      </c>
      <c r="C221" t="s">
        <v>12</v>
      </c>
      <c r="D221" t="s">
        <v>12</v>
      </c>
      <c r="E221">
        <v>0</v>
      </c>
      <c r="F221" t="s">
        <v>34</v>
      </c>
      <c r="G221" t="s">
        <v>14</v>
      </c>
      <c r="H221" t="s">
        <v>250</v>
      </c>
      <c r="I221" t="s">
        <v>31</v>
      </c>
      <c r="J221" t="s">
        <v>24</v>
      </c>
      <c r="K221" t="s">
        <v>381</v>
      </c>
    </row>
    <row r="222" spans="1:11" x14ac:dyDescent="0.2">
      <c r="A222">
        <v>8852</v>
      </c>
      <c r="B222" t="s">
        <v>258</v>
      </c>
      <c r="C222" t="s">
        <v>12</v>
      </c>
      <c r="D222" t="s">
        <v>12</v>
      </c>
      <c r="E222">
        <v>0</v>
      </c>
      <c r="F222" t="s">
        <v>13</v>
      </c>
      <c r="G222" t="s">
        <v>29</v>
      </c>
      <c r="H222" t="s">
        <v>57</v>
      </c>
      <c r="I222" t="s">
        <v>31</v>
      </c>
      <c r="J222" t="s">
        <v>17</v>
      </c>
      <c r="K222" t="s">
        <v>50</v>
      </c>
    </row>
    <row r="223" spans="1:11" x14ac:dyDescent="0.2">
      <c r="A223">
        <v>3273</v>
      </c>
      <c r="B223" t="s">
        <v>258</v>
      </c>
      <c r="C223" t="s">
        <v>12</v>
      </c>
      <c r="D223" t="s">
        <v>12</v>
      </c>
      <c r="E223">
        <v>0</v>
      </c>
      <c r="F223" t="s">
        <v>34</v>
      </c>
      <c r="G223" t="s">
        <v>29</v>
      </c>
      <c r="H223" t="s">
        <v>51</v>
      </c>
      <c r="I223" t="s">
        <v>52</v>
      </c>
      <c r="J223" t="s">
        <v>17</v>
      </c>
      <c r="K223" t="s">
        <v>382</v>
      </c>
    </row>
    <row r="224" spans="1:11" x14ac:dyDescent="0.2">
      <c r="A224">
        <v>5296</v>
      </c>
      <c r="B224" t="s">
        <v>258</v>
      </c>
      <c r="C224" t="s">
        <v>12</v>
      </c>
      <c r="D224" t="s">
        <v>12</v>
      </c>
      <c r="E224">
        <v>0</v>
      </c>
      <c r="F224" t="s">
        <v>13</v>
      </c>
      <c r="G224" t="s">
        <v>29</v>
      </c>
      <c r="H224" t="s">
        <v>61</v>
      </c>
      <c r="I224" t="s">
        <v>31</v>
      </c>
      <c r="J224" t="s">
        <v>24</v>
      </c>
      <c r="K224" t="s">
        <v>383</v>
      </c>
    </row>
    <row r="225" spans="1:11" x14ac:dyDescent="0.2">
      <c r="A225">
        <v>4746</v>
      </c>
      <c r="B225" t="s">
        <v>258</v>
      </c>
      <c r="C225" t="s">
        <v>12</v>
      </c>
      <c r="D225" t="s">
        <v>12</v>
      </c>
      <c r="E225">
        <v>0</v>
      </c>
      <c r="F225" t="s">
        <v>34</v>
      </c>
      <c r="G225" t="s">
        <v>56</v>
      </c>
      <c r="H225" t="s">
        <v>46</v>
      </c>
      <c r="I225" t="s">
        <v>23</v>
      </c>
      <c r="J225" t="s">
        <v>17</v>
      </c>
      <c r="K225" t="s">
        <v>183</v>
      </c>
    </row>
    <row r="226" spans="1:11" x14ac:dyDescent="0.2">
      <c r="A226">
        <v>5403</v>
      </c>
      <c r="B226" t="s">
        <v>258</v>
      </c>
      <c r="C226" t="s">
        <v>19</v>
      </c>
      <c r="D226" t="s">
        <v>19</v>
      </c>
      <c r="E226">
        <v>0</v>
      </c>
      <c r="F226" t="s">
        <v>34</v>
      </c>
      <c r="G226" t="s">
        <v>21</v>
      </c>
      <c r="H226" t="s">
        <v>58</v>
      </c>
      <c r="I226" t="s">
        <v>52</v>
      </c>
      <c r="J226" t="s">
        <v>27</v>
      </c>
      <c r="K226" t="s">
        <v>352</v>
      </c>
    </row>
    <row r="227" spans="1:11" x14ac:dyDescent="0.2">
      <c r="A227">
        <v>9506</v>
      </c>
      <c r="B227" t="s">
        <v>258</v>
      </c>
      <c r="C227" t="s">
        <v>12</v>
      </c>
      <c r="D227" t="s">
        <v>12</v>
      </c>
      <c r="E227">
        <v>0</v>
      </c>
      <c r="F227" t="s">
        <v>13</v>
      </c>
      <c r="G227" t="s">
        <v>14</v>
      </c>
      <c r="H227" t="s">
        <v>89</v>
      </c>
      <c r="I227" t="s">
        <v>31</v>
      </c>
      <c r="J227" t="s">
        <v>55</v>
      </c>
      <c r="K227" t="s">
        <v>384</v>
      </c>
    </row>
    <row r="228" spans="1:11" x14ac:dyDescent="0.2">
      <c r="A228">
        <v>2335</v>
      </c>
      <c r="B228" t="s">
        <v>258</v>
      </c>
      <c r="C228" t="s">
        <v>12</v>
      </c>
      <c r="D228" t="s">
        <v>12</v>
      </c>
      <c r="E228">
        <v>0</v>
      </c>
      <c r="F228" t="s">
        <v>394</v>
      </c>
      <c r="G228" t="s">
        <v>21</v>
      </c>
      <c r="H228" t="s">
        <v>61</v>
      </c>
      <c r="I228" t="s">
        <v>31</v>
      </c>
      <c r="J228" t="s">
        <v>38</v>
      </c>
      <c r="K228" t="s">
        <v>385</v>
      </c>
    </row>
    <row r="229" spans="1:11" x14ac:dyDescent="0.2">
      <c r="A229">
        <v>10168</v>
      </c>
      <c r="B229" t="s">
        <v>258</v>
      </c>
      <c r="C229" t="s">
        <v>12</v>
      </c>
      <c r="D229" t="s">
        <v>12</v>
      </c>
      <c r="E229">
        <v>0</v>
      </c>
      <c r="F229" t="s">
        <v>13</v>
      </c>
      <c r="G229" t="s">
        <v>29</v>
      </c>
      <c r="H229" t="s">
        <v>25</v>
      </c>
      <c r="I229" t="s">
        <v>26</v>
      </c>
      <c r="J229" t="s">
        <v>38</v>
      </c>
      <c r="K229" t="s">
        <v>70</v>
      </c>
    </row>
    <row r="230" spans="1:11" x14ac:dyDescent="0.2">
      <c r="A230">
        <v>6291</v>
      </c>
      <c r="B230" t="s">
        <v>258</v>
      </c>
      <c r="C230" t="s">
        <v>12</v>
      </c>
      <c r="D230" t="s">
        <v>12</v>
      </c>
      <c r="E230">
        <v>0</v>
      </c>
      <c r="F230" t="s">
        <v>394</v>
      </c>
      <c r="G230" t="s">
        <v>14</v>
      </c>
      <c r="I230" t="s">
        <v>23</v>
      </c>
      <c r="J230" t="s">
        <v>164</v>
      </c>
      <c r="K230" t="s">
        <v>156</v>
      </c>
    </row>
    <row r="231" spans="1:11" x14ac:dyDescent="0.2">
      <c r="A231">
        <v>2197</v>
      </c>
      <c r="B231" t="s">
        <v>258</v>
      </c>
      <c r="C231" t="s">
        <v>19</v>
      </c>
      <c r="D231" t="s">
        <v>20</v>
      </c>
      <c r="E231">
        <v>1</v>
      </c>
      <c r="F231" t="s">
        <v>392</v>
      </c>
      <c r="G231" t="s">
        <v>21</v>
      </c>
      <c r="I231" t="s">
        <v>37</v>
      </c>
      <c r="J231" t="s">
        <v>65</v>
      </c>
      <c r="K231" t="s">
        <v>65</v>
      </c>
    </row>
    <row r="232" spans="1:11" x14ac:dyDescent="0.2">
      <c r="A232">
        <v>9768</v>
      </c>
      <c r="B232" t="s">
        <v>258</v>
      </c>
      <c r="C232" t="s">
        <v>12</v>
      </c>
      <c r="D232" t="s">
        <v>12</v>
      </c>
      <c r="E232">
        <v>0</v>
      </c>
      <c r="F232" t="s">
        <v>13</v>
      </c>
      <c r="G232" t="s">
        <v>29</v>
      </c>
      <c r="H232" t="s">
        <v>25</v>
      </c>
      <c r="I232" t="s">
        <v>26</v>
      </c>
      <c r="J232" t="s">
        <v>38</v>
      </c>
      <c r="K232" t="s">
        <v>139</v>
      </c>
    </row>
    <row r="233" spans="1:11" x14ac:dyDescent="0.2">
      <c r="A233">
        <v>3522</v>
      </c>
      <c r="B233" t="s">
        <v>258</v>
      </c>
      <c r="C233" t="s">
        <v>12</v>
      </c>
      <c r="D233" t="s">
        <v>12</v>
      </c>
      <c r="E233">
        <v>0</v>
      </c>
      <c r="F233" t="s">
        <v>13</v>
      </c>
      <c r="G233" t="s">
        <v>29</v>
      </c>
      <c r="H233" t="s">
        <v>30</v>
      </c>
      <c r="I233" t="s">
        <v>31</v>
      </c>
      <c r="J233" t="s">
        <v>38</v>
      </c>
      <c r="K233" t="s">
        <v>386</v>
      </c>
    </row>
    <row r="234" spans="1:11" x14ac:dyDescent="0.2">
      <c r="A234">
        <v>9444</v>
      </c>
      <c r="B234" t="s">
        <v>258</v>
      </c>
      <c r="C234" t="s">
        <v>12</v>
      </c>
      <c r="D234" t="s">
        <v>12</v>
      </c>
      <c r="E234">
        <v>0</v>
      </c>
      <c r="F234" t="s">
        <v>13</v>
      </c>
      <c r="G234" t="s">
        <v>29</v>
      </c>
      <c r="H234" t="s">
        <v>25</v>
      </c>
      <c r="I234" t="s">
        <v>26</v>
      </c>
      <c r="J234" t="s">
        <v>38</v>
      </c>
      <c r="K234" t="s">
        <v>387</v>
      </c>
    </row>
    <row r="235" spans="1:11" x14ac:dyDescent="0.2">
      <c r="A235">
        <v>1170</v>
      </c>
      <c r="B235" t="s">
        <v>258</v>
      </c>
      <c r="C235" t="s">
        <v>19</v>
      </c>
      <c r="D235" t="s">
        <v>20</v>
      </c>
      <c r="E235">
        <v>1</v>
      </c>
      <c r="F235" t="s">
        <v>392</v>
      </c>
      <c r="G235" t="s">
        <v>21</v>
      </c>
      <c r="H235" t="s">
        <v>82</v>
      </c>
      <c r="I235" t="s">
        <v>23</v>
      </c>
      <c r="J235" t="s">
        <v>65</v>
      </c>
      <c r="K235" t="s">
        <v>65</v>
      </c>
    </row>
    <row r="236" spans="1:11" x14ac:dyDescent="0.2">
      <c r="A236">
        <v>5333</v>
      </c>
      <c r="B236" t="s">
        <v>258</v>
      </c>
      <c r="C236" t="s">
        <v>12</v>
      </c>
      <c r="D236" t="s">
        <v>12</v>
      </c>
      <c r="E236">
        <v>0</v>
      </c>
      <c r="F236" t="s">
        <v>34</v>
      </c>
      <c r="G236" t="s">
        <v>56</v>
      </c>
      <c r="H236" t="s">
        <v>144</v>
      </c>
      <c r="I236" t="s">
        <v>43</v>
      </c>
      <c r="J236" t="s">
        <v>164</v>
      </c>
      <c r="K236" t="s">
        <v>277</v>
      </c>
    </row>
    <row r="237" spans="1:11" x14ac:dyDescent="0.2">
      <c r="A237">
        <v>6955</v>
      </c>
      <c r="B237" t="s">
        <v>258</v>
      </c>
      <c r="C237" t="s">
        <v>12</v>
      </c>
      <c r="D237" t="s">
        <v>12</v>
      </c>
      <c r="E237">
        <v>0</v>
      </c>
      <c r="F237" t="s">
        <v>13</v>
      </c>
      <c r="G237" t="s">
        <v>14</v>
      </c>
      <c r="H237" t="s">
        <v>61</v>
      </c>
      <c r="I237" t="s">
        <v>31</v>
      </c>
      <c r="J237" t="s">
        <v>24</v>
      </c>
      <c r="K237" t="s">
        <v>388</v>
      </c>
    </row>
    <row r="238" spans="1:11" x14ac:dyDescent="0.2">
      <c r="A238">
        <v>9452</v>
      </c>
      <c r="B238" t="s">
        <v>258</v>
      </c>
      <c r="C238" t="s">
        <v>12</v>
      </c>
      <c r="D238" t="s">
        <v>12</v>
      </c>
      <c r="E238">
        <v>0</v>
      </c>
      <c r="F238" t="s">
        <v>13</v>
      </c>
      <c r="G238" t="s">
        <v>29</v>
      </c>
      <c r="H238" t="s">
        <v>25</v>
      </c>
      <c r="I238" t="s">
        <v>26</v>
      </c>
      <c r="J238" t="s">
        <v>38</v>
      </c>
      <c r="K238" t="s">
        <v>389</v>
      </c>
    </row>
    <row r="239" spans="1:11" x14ac:dyDescent="0.2">
      <c r="A239">
        <v>5315</v>
      </c>
      <c r="B239" t="s">
        <v>258</v>
      </c>
      <c r="C239" t="s">
        <v>12</v>
      </c>
      <c r="D239" t="s">
        <v>12</v>
      </c>
      <c r="E239">
        <v>0</v>
      </c>
      <c r="F239" t="s">
        <v>13</v>
      </c>
      <c r="G239" t="s">
        <v>29</v>
      </c>
      <c r="H239" t="s">
        <v>61</v>
      </c>
      <c r="I239" t="s">
        <v>31</v>
      </c>
      <c r="J239" t="s">
        <v>48</v>
      </c>
      <c r="K239" t="s">
        <v>390</v>
      </c>
    </row>
    <row r="240" spans="1:11" x14ac:dyDescent="0.2">
      <c r="A240">
        <v>987</v>
      </c>
      <c r="B240" t="s">
        <v>258</v>
      </c>
      <c r="C240" t="s">
        <v>19</v>
      </c>
      <c r="D240" t="s">
        <v>19</v>
      </c>
      <c r="E240">
        <v>0</v>
      </c>
      <c r="F240" t="s">
        <v>394</v>
      </c>
      <c r="G240" t="s">
        <v>21</v>
      </c>
      <c r="I240" t="s">
        <v>52</v>
      </c>
      <c r="J240" t="s">
        <v>38</v>
      </c>
      <c r="K240" t="s">
        <v>391</v>
      </c>
    </row>
    <row r="241" spans="1:11" x14ac:dyDescent="0.2">
      <c r="A241">
        <v>2967</v>
      </c>
      <c r="B241" t="s">
        <v>258</v>
      </c>
      <c r="C241" t="s">
        <v>19</v>
      </c>
      <c r="D241" t="s">
        <v>19</v>
      </c>
      <c r="E241">
        <v>0</v>
      </c>
      <c r="F241" t="s">
        <v>13</v>
      </c>
      <c r="G241" t="s">
        <v>21</v>
      </c>
      <c r="H241" t="s">
        <v>146</v>
      </c>
      <c r="I241" t="s">
        <v>52</v>
      </c>
      <c r="J241" t="s">
        <v>24</v>
      </c>
      <c r="K241" t="s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9F6F-A884-6649-8C29-711E8495613A}">
  <dimension ref="A1"/>
  <sheetViews>
    <sheetView topLeftCell="A98" workbookViewId="0"/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7027-FE96-9549-ABFB-94F15539C683}">
  <dimension ref="A1:G235"/>
  <sheetViews>
    <sheetView tabSelected="1" workbookViewId="0">
      <selection sqref="A1:G235"/>
    </sheetView>
  </sheetViews>
  <sheetFormatPr baseColWidth="10" defaultRowHeight="15" x14ac:dyDescent="0.2"/>
  <cols>
    <col min="1" max="7" width="51.1640625" customWidth="1"/>
  </cols>
  <sheetData>
    <row r="1" spans="1:7" x14ac:dyDescent="0.2">
      <c r="A1" t="s">
        <v>0</v>
      </c>
      <c r="B1" t="s">
        <v>5</v>
      </c>
      <c r="C1" t="s">
        <v>451</v>
      </c>
      <c r="D1" t="s">
        <v>452</v>
      </c>
      <c r="E1" t="s">
        <v>453</v>
      </c>
      <c r="F1" t="s">
        <v>454</v>
      </c>
      <c r="G1" t="s">
        <v>455</v>
      </c>
    </row>
    <row r="2" spans="1:7" x14ac:dyDescent="0.2">
      <c r="A2" s="2">
        <v>138</v>
      </c>
      <c r="B2" s="3" t="s">
        <v>394</v>
      </c>
      <c r="C2" s="3" t="s">
        <v>24</v>
      </c>
      <c r="D2" t="s">
        <v>413</v>
      </c>
      <c r="E2" t="s">
        <v>56</v>
      </c>
      <c r="F2" t="s">
        <v>393</v>
      </c>
      <c r="G2" t="s">
        <v>393</v>
      </c>
    </row>
    <row r="3" spans="1:7" x14ac:dyDescent="0.2">
      <c r="A3" s="2">
        <v>241</v>
      </c>
      <c r="B3" t="s">
        <v>394</v>
      </c>
      <c r="C3" t="s">
        <v>38</v>
      </c>
      <c r="D3" t="s">
        <v>395</v>
      </c>
      <c r="E3" t="s">
        <v>21</v>
      </c>
      <c r="F3" t="s">
        <v>25</v>
      </c>
      <c r="G3" t="s">
        <v>26</v>
      </c>
    </row>
    <row r="4" spans="1:7" x14ac:dyDescent="0.2">
      <c r="A4" s="2">
        <v>259</v>
      </c>
      <c r="B4" s="3" t="s">
        <v>392</v>
      </c>
      <c r="C4" s="3" t="s">
        <v>24</v>
      </c>
      <c r="D4" t="s">
        <v>413</v>
      </c>
      <c r="E4" t="s">
        <v>56</v>
      </c>
      <c r="F4" t="s">
        <v>393</v>
      </c>
      <c r="G4" t="s">
        <v>393</v>
      </c>
    </row>
    <row r="5" spans="1:7" x14ac:dyDescent="0.2">
      <c r="A5" s="2">
        <v>264</v>
      </c>
      <c r="B5" s="3" t="s">
        <v>396</v>
      </c>
      <c r="C5" t="s">
        <v>38</v>
      </c>
      <c r="D5" t="s">
        <v>395</v>
      </c>
      <c r="E5" t="s">
        <v>21</v>
      </c>
      <c r="F5" t="s">
        <v>133</v>
      </c>
      <c r="G5" t="s">
        <v>23</v>
      </c>
    </row>
    <row r="6" spans="1:7" x14ac:dyDescent="0.2">
      <c r="A6" s="2">
        <v>273</v>
      </c>
      <c r="B6" s="3" t="s">
        <v>392</v>
      </c>
      <c r="C6" s="3" t="s">
        <v>24</v>
      </c>
      <c r="D6" t="s">
        <v>395</v>
      </c>
      <c r="E6" t="s">
        <v>21</v>
      </c>
      <c r="F6" t="s">
        <v>393</v>
      </c>
      <c r="G6" t="s">
        <v>393</v>
      </c>
    </row>
    <row r="7" spans="1:7" x14ac:dyDescent="0.2">
      <c r="A7" s="2">
        <v>383</v>
      </c>
      <c r="B7" s="3" t="s">
        <v>394</v>
      </c>
      <c r="C7" s="3" t="s">
        <v>38</v>
      </c>
      <c r="D7" t="s">
        <v>395</v>
      </c>
      <c r="E7" t="s">
        <v>21</v>
      </c>
      <c r="F7" t="s">
        <v>57</v>
      </c>
      <c r="G7" t="s">
        <v>31</v>
      </c>
    </row>
    <row r="8" spans="1:7" x14ac:dyDescent="0.2">
      <c r="A8" s="2">
        <v>416</v>
      </c>
      <c r="B8" s="3" t="s">
        <v>394</v>
      </c>
      <c r="C8" s="3" t="s">
        <v>32</v>
      </c>
      <c r="D8" t="s">
        <v>395</v>
      </c>
      <c r="E8" t="s">
        <v>21</v>
      </c>
      <c r="F8" t="s">
        <v>91</v>
      </c>
      <c r="G8" t="s">
        <v>26</v>
      </c>
    </row>
    <row r="9" spans="1:7" x14ac:dyDescent="0.2">
      <c r="A9" s="2">
        <v>474</v>
      </c>
      <c r="B9" s="3" t="s">
        <v>392</v>
      </c>
      <c r="C9" s="3" t="s">
        <v>24</v>
      </c>
      <c r="D9" t="s">
        <v>395</v>
      </c>
      <c r="E9" t="s">
        <v>21</v>
      </c>
      <c r="F9" t="s">
        <v>49</v>
      </c>
      <c r="G9" t="s">
        <v>16</v>
      </c>
    </row>
    <row r="10" spans="1:7" x14ac:dyDescent="0.2">
      <c r="A10" s="2">
        <v>516</v>
      </c>
      <c r="B10" s="3" t="s">
        <v>394</v>
      </c>
      <c r="C10" s="3" t="s">
        <v>38</v>
      </c>
      <c r="D10" t="s">
        <v>395</v>
      </c>
      <c r="E10" t="s">
        <v>21</v>
      </c>
      <c r="F10" t="s">
        <v>81</v>
      </c>
      <c r="G10" t="s">
        <v>31</v>
      </c>
    </row>
    <row r="11" spans="1:7" x14ac:dyDescent="0.2">
      <c r="A11" s="2">
        <v>729</v>
      </c>
      <c r="B11" s="3" t="s">
        <v>392</v>
      </c>
      <c r="C11" s="3" t="s">
        <v>65</v>
      </c>
      <c r="D11" t="s">
        <v>164</v>
      </c>
      <c r="E11" t="s">
        <v>56</v>
      </c>
      <c r="F11" t="s">
        <v>393</v>
      </c>
      <c r="G11" t="s">
        <v>393</v>
      </c>
    </row>
    <row r="12" spans="1:7" x14ac:dyDescent="0.2">
      <c r="A12" s="2">
        <v>761</v>
      </c>
      <c r="B12" s="3" t="s">
        <v>398</v>
      </c>
      <c r="C12" s="3" t="s">
        <v>17</v>
      </c>
      <c r="D12" t="s">
        <v>402</v>
      </c>
      <c r="E12" t="s">
        <v>56</v>
      </c>
      <c r="F12" t="s">
        <v>399</v>
      </c>
      <c r="G12" t="s">
        <v>43</v>
      </c>
    </row>
    <row r="13" spans="1:7" x14ac:dyDescent="0.2">
      <c r="A13" s="2">
        <v>779</v>
      </c>
      <c r="B13" s="3" t="s">
        <v>396</v>
      </c>
      <c r="C13" s="3" t="s">
        <v>32</v>
      </c>
      <c r="D13" t="s">
        <v>402</v>
      </c>
      <c r="E13" t="s">
        <v>14</v>
      </c>
      <c r="F13" t="s">
        <v>400</v>
      </c>
      <c r="G13" t="s">
        <v>43</v>
      </c>
    </row>
    <row r="14" spans="1:7" x14ac:dyDescent="0.2">
      <c r="A14" s="2">
        <v>837</v>
      </c>
      <c r="B14" s="3" t="s">
        <v>392</v>
      </c>
      <c r="C14" s="3" t="s">
        <v>24</v>
      </c>
      <c r="D14" t="s">
        <v>395</v>
      </c>
      <c r="E14" t="s">
        <v>21</v>
      </c>
      <c r="F14" t="s">
        <v>49</v>
      </c>
      <c r="G14" t="s">
        <v>16</v>
      </c>
    </row>
    <row r="15" spans="1:7" x14ac:dyDescent="0.2">
      <c r="A15" s="2">
        <v>877</v>
      </c>
      <c r="B15" s="3" t="s">
        <v>392</v>
      </c>
      <c r="C15" s="3" t="s">
        <v>24</v>
      </c>
      <c r="D15" t="s">
        <v>395</v>
      </c>
      <c r="E15" t="s">
        <v>21</v>
      </c>
      <c r="F15" t="s">
        <v>146</v>
      </c>
      <c r="G15" t="s">
        <v>401</v>
      </c>
    </row>
    <row r="16" spans="1:7" x14ac:dyDescent="0.2">
      <c r="A16" s="2">
        <v>896</v>
      </c>
      <c r="B16" s="3" t="s">
        <v>392</v>
      </c>
      <c r="C16" s="3" t="s">
        <v>24</v>
      </c>
      <c r="D16" t="s">
        <v>393</v>
      </c>
      <c r="E16" t="s">
        <v>393</v>
      </c>
      <c r="F16" t="s">
        <v>393</v>
      </c>
      <c r="G16" t="s">
        <v>393</v>
      </c>
    </row>
    <row r="17" spans="1:7" x14ac:dyDescent="0.2">
      <c r="A17" s="2">
        <v>923</v>
      </c>
      <c r="B17" s="3" t="s">
        <v>396</v>
      </c>
      <c r="C17" s="3" t="s">
        <v>24</v>
      </c>
      <c r="D17" t="s">
        <v>402</v>
      </c>
      <c r="E17" t="s">
        <v>14</v>
      </c>
      <c r="F17" t="s">
        <v>61</v>
      </c>
      <c r="G17" t="s">
        <v>31</v>
      </c>
    </row>
    <row r="18" spans="1:7" x14ac:dyDescent="0.2">
      <c r="A18" s="2">
        <v>940</v>
      </c>
      <c r="B18" s="3" t="s">
        <v>396</v>
      </c>
      <c r="C18" s="3" t="s">
        <v>24</v>
      </c>
      <c r="D18" t="s">
        <v>402</v>
      </c>
      <c r="E18" t="s">
        <v>14</v>
      </c>
      <c r="F18" t="s">
        <v>61</v>
      </c>
      <c r="G18" t="s">
        <v>31</v>
      </c>
    </row>
    <row r="19" spans="1:7" x14ac:dyDescent="0.2">
      <c r="A19" s="2">
        <v>951</v>
      </c>
      <c r="B19" s="3" t="s">
        <v>396</v>
      </c>
      <c r="C19" s="3" t="s">
        <v>24</v>
      </c>
      <c r="D19" t="s">
        <v>402</v>
      </c>
      <c r="E19" t="s">
        <v>29</v>
      </c>
      <c r="F19" t="s">
        <v>403</v>
      </c>
      <c r="G19" t="s">
        <v>43</v>
      </c>
    </row>
    <row r="20" spans="1:7" x14ac:dyDescent="0.2">
      <c r="A20">
        <v>987</v>
      </c>
      <c r="B20" t="s">
        <v>394</v>
      </c>
      <c r="C20" t="s">
        <v>38</v>
      </c>
      <c r="D20" t="s">
        <v>404</v>
      </c>
      <c r="E20" t="s">
        <v>21</v>
      </c>
      <c r="F20" t="s">
        <v>393</v>
      </c>
      <c r="G20" t="s">
        <v>52</v>
      </c>
    </row>
    <row r="21" spans="1:7" x14ac:dyDescent="0.2">
      <c r="A21" s="2">
        <v>1010</v>
      </c>
      <c r="B21" s="3" t="s">
        <v>392</v>
      </c>
      <c r="C21" s="3" t="s">
        <v>24</v>
      </c>
      <c r="D21" t="s">
        <v>395</v>
      </c>
      <c r="E21" t="s">
        <v>21</v>
      </c>
      <c r="F21" t="s">
        <v>293</v>
      </c>
      <c r="G21" t="s">
        <v>26</v>
      </c>
    </row>
    <row r="22" spans="1:7" x14ac:dyDescent="0.2">
      <c r="A22" s="2">
        <v>1058</v>
      </c>
      <c r="B22" s="3" t="s">
        <v>396</v>
      </c>
      <c r="C22" s="3" t="s">
        <v>27</v>
      </c>
      <c r="D22" t="s">
        <v>402</v>
      </c>
      <c r="E22" t="s">
        <v>29</v>
      </c>
      <c r="F22" t="s">
        <v>128</v>
      </c>
      <c r="G22" t="s">
        <v>23</v>
      </c>
    </row>
    <row r="23" spans="1:7" x14ac:dyDescent="0.2">
      <c r="A23" s="3">
        <v>1170</v>
      </c>
      <c r="B23" s="3" t="s">
        <v>392</v>
      </c>
      <c r="C23" s="3" t="s">
        <v>65</v>
      </c>
      <c r="D23" s="3" t="s">
        <v>402</v>
      </c>
      <c r="E23" s="3" t="s">
        <v>21</v>
      </c>
      <c r="F23" s="3" t="s">
        <v>82</v>
      </c>
      <c r="G23" s="3" t="s">
        <v>405</v>
      </c>
    </row>
    <row r="24" spans="1:7" x14ac:dyDescent="0.2">
      <c r="A24" s="2">
        <v>1186</v>
      </c>
      <c r="B24" s="3" t="s">
        <v>396</v>
      </c>
      <c r="C24" s="3" t="s">
        <v>24</v>
      </c>
      <c r="D24" t="s">
        <v>402</v>
      </c>
      <c r="E24" t="s">
        <v>56</v>
      </c>
      <c r="F24" t="s">
        <v>393</v>
      </c>
      <c r="G24" t="s">
        <v>393</v>
      </c>
    </row>
    <row r="25" spans="1:7" x14ac:dyDescent="0.2">
      <c r="A25" s="2">
        <v>1289</v>
      </c>
      <c r="B25" s="3" t="s">
        <v>396</v>
      </c>
      <c r="C25" s="3" t="s">
        <v>38</v>
      </c>
      <c r="D25" t="s">
        <v>395</v>
      </c>
      <c r="E25" t="s">
        <v>14</v>
      </c>
      <c r="F25" t="s">
        <v>25</v>
      </c>
      <c r="G25" t="s">
        <v>26</v>
      </c>
    </row>
    <row r="26" spans="1:7" x14ac:dyDescent="0.2">
      <c r="A26" s="2">
        <v>1713</v>
      </c>
      <c r="B26" s="3" t="s">
        <v>396</v>
      </c>
      <c r="C26" s="3" t="s">
        <v>27</v>
      </c>
      <c r="D26" t="s">
        <v>402</v>
      </c>
      <c r="E26" t="s">
        <v>29</v>
      </c>
      <c r="F26" t="s">
        <v>403</v>
      </c>
      <c r="G26" t="s">
        <v>43</v>
      </c>
    </row>
    <row r="27" spans="1:7" x14ac:dyDescent="0.2">
      <c r="A27" s="2">
        <v>1751</v>
      </c>
      <c r="B27" s="3" t="s">
        <v>396</v>
      </c>
      <c r="C27" s="3" t="s">
        <v>17</v>
      </c>
      <c r="D27" t="s">
        <v>164</v>
      </c>
      <c r="E27" t="s">
        <v>21</v>
      </c>
      <c r="F27" t="s">
        <v>133</v>
      </c>
      <c r="G27" t="s">
        <v>23</v>
      </c>
    </row>
    <row r="28" spans="1:7" x14ac:dyDescent="0.2">
      <c r="A28" s="2">
        <v>1758</v>
      </c>
      <c r="B28" s="3" t="s">
        <v>398</v>
      </c>
      <c r="C28" s="3" t="s">
        <v>164</v>
      </c>
      <c r="D28" t="s">
        <v>402</v>
      </c>
      <c r="E28" t="s">
        <v>56</v>
      </c>
      <c r="F28" t="s">
        <v>128</v>
      </c>
      <c r="G28" t="s">
        <v>23</v>
      </c>
    </row>
    <row r="29" spans="1:7" x14ac:dyDescent="0.2">
      <c r="A29" s="2">
        <v>1844</v>
      </c>
      <c r="B29" s="3" t="s">
        <v>398</v>
      </c>
      <c r="C29" s="3" t="s">
        <v>38</v>
      </c>
      <c r="D29" t="s">
        <v>395</v>
      </c>
      <c r="E29" t="s">
        <v>29</v>
      </c>
      <c r="F29" t="s">
        <v>81</v>
      </c>
      <c r="G29" t="s">
        <v>406</v>
      </c>
    </row>
    <row r="30" spans="1:7" x14ac:dyDescent="0.2">
      <c r="A30" s="2">
        <v>1854</v>
      </c>
      <c r="B30" s="3" t="s">
        <v>392</v>
      </c>
      <c r="C30" s="3" t="s">
        <v>24</v>
      </c>
      <c r="D30" t="s">
        <v>164</v>
      </c>
      <c r="E30" t="s">
        <v>21</v>
      </c>
      <c r="F30" t="s">
        <v>407</v>
      </c>
      <c r="G30" t="s">
        <v>408</v>
      </c>
    </row>
    <row r="31" spans="1:7" x14ac:dyDescent="0.2">
      <c r="A31" s="3">
        <v>1915</v>
      </c>
      <c r="B31" s="3" t="s">
        <v>398</v>
      </c>
      <c r="C31" s="3" t="s">
        <v>24</v>
      </c>
      <c r="D31" s="3" t="s">
        <v>395</v>
      </c>
      <c r="E31" s="3" t="s">
        <v>14</v>
      </c>
      <c r="F31" s="3" t="s">
        <v>81</v>
      </c>
      <c r="G31" s="3" t="s">
        <v>409</v>
      </c>
    </row>
    <row r="32" spans="1:7" x14ac:dyDescent="0.2">
      <c r="A32" s="2">
        <v>1943</v>
      </c>
      <c r="B32" s="3" t="s">
        <v>394</v>
      </c>
      <c r="C32" s="3" t="s">
        <v>38</v>
      </c>
      <c r="D32" t="s">
        <v>395</v>
      </c>
      <c r="E32" t="s">
        <v>21</v>
      </c>
      <c r="F32" t="s">
        <v>57</v>
      </c>
      <c r="G32" t="s">
        <v>31</v>
      </c>
    </row>
    <row r="33" spans="1:7" x14ac:dyDescent="0.2">
      <c r="A33" s="2">
        <v>1947</v>
      </c>
      <c r="B33" s="3" t="s">
        <v>394</v>
      </c>
      <c r="C33" s="3" t="s">
        <v>38</v>
      </c>
      <c r="D33" t="s">
        <v>395</v>
      </c>
      <c r="E33" t="s">
        <v>21</v>
      </c>
      <c r="F33" t="s">
        <v>57</v>
      </c>
      <c r="G33" t="s">
        <v>31</v>
      </c>
    </row>
    <row r="34" spans="1:7" x14ac:dyDescent="0.2">
      <c r="A34" s="2">
        <v>1955</v>
      </c>
      <c r="B34" s="3" t="s">
        <v>394</v>
      </c>
      <c r="C34" s="3" t="s">
        <v>38</v>
      </c>
      <c r="D34" t="s">
        <v>395</v>
      </c>
      <c r="E34" t="s">
        <v>14</v>
      </c>
      <c r="F34" t="s">
        <v>81</v>
      </c>
      <c r="G34" t="s">
        <v>31</v>
      </c>
    </row>
    <row r="35" spans="1:7" x14ac:dyDescent="0.2">
      <c r="A35">
        <v>1975</v>
      </c>
      <c r="B35" t="s">
        <v>396</v>
      </c>
      <c r="C35" t="s">
        <v>32</v>
      </c>
      <c r="D35" t="s">
        <v>395</v>
      </c>
      <c r="E35" t="s">
        <v>45</v>
      </c>
      <c r="F35" t="s">
        <v>67</v>
      </c>
      <c r="G35" t="s">
        <v>43</v>
      </c>
    </row>
    <row r="36" spans="1:7" x14ac:dyDescent="0.2">
      <c r="A36" s="2">
        <v>1983</v>
      </c>
      <c r="B36" s="3" t="s">
        <v>392</v>
      </c>
      <c r="C36" s="3" t="s">
        <v>24</v>
      </c>
      <c r="D36" t="s">
        <v>402</v>
      </c>
      <c r="E36" t="s">
        <v>56</v>
      </c>
      <c r="F36" t="s">
        <v>118</v>
      </c>
      <c r="G36" t="s">
        <v>43</v>
      </c>
    </row>
    <row r="37" spans="1:7" x14ac:dyDescent="0.2">
      <c r="A37" s="2">
        <v>2000</v>
      </c>
      <c r="B37" s="3" t="s">
        <v>392</v>
      </c>
      <c r="C37" s="3" t="s">
        <v>24</v>
      </c>
      <c r="D37" t="s">
        <v>402</v>
      </c>
      <c r="E37" t="s">
        <v>56</v>
      </c>
      <c r="F37" t="s">
        <v>84</v>
      </c>
      <c r="G37" t="s">
        <v>23</v>
      </c>
    </row>
    <row r="38" spans="1:7" x14ac:dyDescent="0.2">
      <c r="A38" s="2">
        <v>2012</v>
      </c>
      <c r="B38" s="3" t="s">
        <v>396</v>
      </c>
      <c r="C38" s="3" t="s">
        <v>17</v>
      </c>
      <c r="D38" t="s">
        <v>164</v>
      </c>
      <c r="E38" t="s">
        <v>21</v>
      </c>
      <c r="F38" t="s">
        <v>49</v>
      </c>
      <c r="G38" t="s">
        <v>410</v>
      </c>
    </row>
    <row r="39" spans="1:7" x14ac:dyDescent="0.2">
      <c r="A39" s="2">
        <v>2086</v>
      </c>
      <c r="B39" s="3" t="s">
        <v>394</v>
      </c>
      <c r="C39" s="3" t="s">
        <v>38</v>
      </c>
      <c r="D39" t="s">
        <v>395</v>
      </c>
      <c r="E39" t="s">
        <v>29</v>
      </c>
      <c r="F39" t="s">
        <v>331</v>
      </c>
      <c r="G39" t="s">
        <v>26</v>
      </c>
    </row>
    <row r="40" spans="1:7" x14ac:dyDescent="0.2">
      <c r="A40" s="2">
        <v>2180</v>
      </c>
      <c r="B40" s="3" t="s">
        <v>398</v>
      </c>
      <c r="C40" s="3" t="s">
        <v>164</v>
      </c>
      <c r="D40" t="s">
        <v>402</v>
      </c>
      <c r="E40" t="s">
        <v>29</v>
      </c>
      <c r="F40" t="s">
        <v>46</v>
      </c>
      <c r="G40" t="s">
        <v>43</v>
      </c>
    </row>
    <row r="41" spans="1:7" x14ac:dyDescent="0.2">
      <c r="A41" s="2">
        <v>2192</v>
      </c>
      <c r="B41" s="3" t="s">
        <v>396</v>
      </c>
      <c r="C41" s="3" t="s">
        <v>24</v>
      </c>
      <c r="D41" t="s">
        <v>402</v>
      </c>
      <c r="E41" t="s">
        <v>56</v>
      </c>
      <c r="F41" t="s">
        <v>393</v>
      </c>
      <c r="G41" t="s">
        <v>393</v>
      </c>
    </row>
    <row r="42" spans="1:7" x14ac:dyDescent="0.2">
      <c r="A42" s="2">
        <v>2197</v>
      </c>
      <c r="B42" s="3" t="s">
        <v>396</v>
      </c>
      <c r="C42" s="3" t="s">
        <v>411</v>
      </c>
      <c r="D42" t="s">
        <v>402</v>
      </c>
      <c r="E42" t="s">
        <v>21</v>
      </c>
      <c r="F42" t="s">
        <v>407</v>
      </c>
      <c r="G42" t="s">
        <v>408</v>
      </c>
    </row>
    <row r="43" spans="1:7" x14ac:dyDescent="0.2">
      <c r="A43" s="2">
        <v>2219</v>
      </c>
      <c r="B43" s="3" t="s">
        <v>392</v>
      </c>
      <c r="C43" s="3" t="s">
        <v>24</v>
      </c>
      <c r="D43" t="s">
        <v>395</v>
      </c>
      <c r="E43" t="s">
        <v>21</v>
      </c>
      <c r="F43" t="s">
        <v>49</v>
      </c>
      <c r="G43" t="s">
        <v>410</v>
      </c>
    </row>
    <row r="44" spans="1:7" x14ac:dyDescent="0.2">
      <c r="A44" s="2">
        <v>2241</v>
      </c>
      <c r="B44" s="3" t="s">
        <v>398</v>
      </c>
      <c r="C44" s="3" t="s">
        <v>164</v>
      </c>
      <c r="D44" t="s">
        <v>395</v>
      </c>
      <c r="E44" t="s">
        <v>29</v>
      </c>
      <c r="F44" t="s">
        <v>81</v>
      </c>
      <c r="G44" t="s">
        <v>31</v>
      </c>
    </row>
    <row r="45" spans="1:7" x14ac:dyDescent="0.2">
      <c r="A45" s="2">
        <v>2292</v>
      </c>
      <c r="B45" s="3" t="s">
        <v>394</v>
      </c>
      <c r="C45" s="3" t="s">
        <v>24</v>
      </c>
      <c r="D45" t="s">
        <v>164</v>
      </c>
      <c r="E45" t="s">
        <v>14</v>
      </c>
      <c r="F45" t="s">
        <v>407</v>
      </c>
      <c r="G45" t="s">
        <v>408</v>
      </c>
    </row>
    <row r="46" spans="1:7" x14ac:dyDescent="0.2">
      <c r="A46" s="2">
        <v>2307</v>
      </c>
      <c r="B46" s="3" t="s">
        <v>394</v>
      </c>
      <c r="C46" s="3" t="s">
        <v>38</v>
      </c>
      <c r="D46" t="s">
        <v>395</v>
      </c>
      <c r="E46" t="s">
        <v>14</v>
      </c>
      <c r="F46" t="s">
        <v>49</v>
      </c>
      <c r="G46" t="s">
        <v>410</v>
      </c>
    </row>
    <row r="47" spans="1:7" x14ac:dyDescent="0.2">
      <c r="A47" s="2">
        <v>2326</v>
      </c>
      <c r="B47" s="3" t="s">
        <v>396</v>
      </c>
      <c r="C47" s="3" t="s">
        <v>38</v>
      </c>
      <c r="D47" t="s">
        <v>395</v>
      </c>
      <c r="E47" t="s">
        <v>14</v>
      </c>
      <c r="F47" t="s">
        <v>25</v>
      </c>
      <c r="G47" t="s">
        <v>26</v>
      </c>
    </row>
    <row r="48" spans="1:7" x14ac:dyDescent="0.2">
      <c r="A48" s="2">
        <v>2335</v>
      </c>
      <c r="B48" s="3" t="s">
        <v>394</v>
      </c>
      <c r="C48" s="3" t="s">
        <v>88</v>
      </c>
      <c r="D48" t="s">
        <v>402</v>
      </c>
      <c r="E48" t="s">
        <v>21</v>
      </c>
      <c r="F48" t="s">
        <v>61</v>
      </c>
      <c r="G48" t="s">
        <v>31</v>
      </c>
    </row>
    <row r="49" spans="1:7" x14ac:dyDescent="0.2">
      <c r="A49" s="2">
        <v>2343</v>
      </c>
      <c r="B49" s="3" t="s">
        <v>392</v>
      </c>
      <c r="C49" s="3" t="s">
        <v>24</v>
      </c>
      <c r="D49" t="s">
        <v>395</v>
      </c>
      <c r="E49" t="s">
        <v>21</v>
      </c>
      <c r="F49" t="s">
        <v>407</v>
      </c>
      <c r="G49" t="s">
        <v>408</v>
      </c>
    </row>
    <row r="50" spans="1:7" x14ac:dyDescent="0.2">
      <c r="A50" s="2">
        <v>2448</v>
      </c>
      <c r="B50" s="3" t="s">
        <v>396</v>
      </c>
      <c r="C50" s="3" t="s">
        <v>38</v>
      </c>
      <c r="D50" t="s">
        <v>395</v>
      </c>
      <c r="E50" t="s">
        <v>56</v>
      </c>
      <c r="F50" t="s">
        <v>25</v>
      </c>
      <c r="G50" t="s">
        <v>26</v>
      </c>
    </row>
    <row r="51" spans="1:7" x14ac:dyDescent="0.2">
      <c r="A51" s="2">
        <v>2480</v>
      </c>
      <c r="B51" s="3" t="s">
        <v>396</v>
      </c>
      <c r="C51" s="3" t="s">
        <v>24</v>
      </c>
      <c r="D51" t="s">
        <v>395</v>
      </c>
      <c r="E51" t="s">
        <v>14</v>
      </c>
      <c r="F51" t="s">
        <v>407</v>
      </c>
      <c r="G51" t="s">
        <v>408</v>
      </c>
    </row>
    <row r="52" spans="1:7" x14ac:dyDescent="0.2">
      <c r="A52" s="2">
        <v>2483</v>
      </c>
      <c r="B52" s="3" t="s">
        <v>396</v>
      </c>
      <c r="C52" s="3" t="s">
        <v>17</v>
      </c>
      <c r="D52" t="s">
        <v>164</v>
      </c>
      <c r="E52" t="s">
        <v>56</v>
      </c>
      <c r="F52" t="s">
        <v>49</v>
      </c>
      <c r="G52" t="s">
        <v>410</v>
      </c>
    </row>
    <row r="53" spans="1:7" x14ac:dyDescent="0.2">
      <c r="A53" s="2">
        <v>2508</v>
      </c>
      <c r="B53" s="3" t="s">
        <v>394</v>
      </c>
      <c r="C53" s="3" t="s">
        <v>38</v>
      </c>
      <c r="D53" t="s">
        <v>395</v>
      </c>
      <c r="E53" t="s">
        <v>21</v>
      </c>
      <c r="F53" t="s">
        <v>57</v>
      </c>
      <c r="G53" t="s">
        <v>31</v>
      </c>
    </row>
    <row r="54" spans="1:7" x14ac:dyDescent="0.2">
      <c r="A54" s="2">
        <v>2522</v>
      </c>
      <c r="B54" s="3" t="s">
        <v>396</v>
      </c>
      <c r="C54" s="3" t="s">
        <v>38</v>
      </c>
      <c r="D54" t="s">
        <v>395</v>
      </c>
      <c r="E54" t="s">
        <v>29</v>
      </c>
      <c r="F54" t="s">
        <v>81</v>
      </c>
      <c r="G54" t="s">
        <v>31</v>
      </c>
    </row>
    <row r="55" spans="1:7" x14ac:dyDescent="0.2">
      <c r="A55" s="2">
        <v>2534</v>
      </c>
      <c r="B55" s="3" t="s">
        <v>392</v>
      </c>
      <c r="C55" s="3" t="s">
        <v>411</v>
      </c>
      <c r="D55" t="s">
        <v>412</v>
      </c>
      <c r="E55" t="s">
        <v>56</v>
      </c>
      <c r="F55" t="s">
        <v>407</v>
      </c>
      <c r="G55" t="s">
        <v>408</v>
      </c>
    </row>
    <row r="56" spans="1:7" x14ac:dyDescent="0.2">
      <c r="A56" s="2">
        <v>2747</v>
      </c>
      <c r="B56" s="3" t="s">
        <v>394</v>
      </c>
      <c r="C56" s="3" t="s">
        <v>24</v>
      </c>
      <c r="D56" t="s">
        <v>402</v>
      </c>
      <c r="E56" t="s">
        <v>21</v>
      </c>
      <c r="F56" t="s">
        <v>46</v>
      </c>
      <c r="G56" t="s">
        <v>401</v>
      </c>
    </row>
    <row r="57" spans="1:7" x14ac:dyDescent="0.2">
      <c r="A57" s="2">
        <v>2782</v>
      </c>
      <c r="B57" s="3" t="s">
        <v>398</v>
      </c>
      <c r="C57" s="3" t="s">
        <v>17</v>
      </c>
      <c r="D57" t="s">
        <v>164</v>
      </c>
      <c r="E57" t="s">
        <v>56</v>
      </c>
      <c r="F57" t="s">
        <v>133</v>
      </c>
      <c r="G57" t="s">
        <v>23</v>
      </c>
    </row>
    <row r="58" spans="1:7" x14ac:dyDescent="0.2">
      <c r="A58" s="2">
        <v>2814</v>
      </c>
      <c r="B58" s="3" t="s">
        <v>392</v>
      </c>
      <c r="C58" s="3" t="s">
        <v>411</v>
      </c>
      <c r="D58" t="s">
        <v>164</v>
      </c>
      <c r="E58" t="s">
        <v>56</v>
      </c>
      <c r="F58" t="s">
        <v>407</v>
      </c>
      <c r="G58" t="s">
        <v>408</v>
      </c>
    </row>
    <row r="59" spans="1:7" x14ac:dyDescent="0.2">
      <c r="A59" s="2">
        <v>2838</v>
      </c>
      <c r="B59" s="3" t="s">
        <v>394</v>
      </c>
      <c r="C59" s="3" t="s">
        <v>38</v>
      </c>
      <c r="D59" t="s">
        <v>402</v>
      </c>
      <c r="E59" t="s">
        <v>21</v>
      </c>
      <c r="F59" t="s">
        <v>58</v>
      </c>
      <c r="G59" t="s">
        <v>401</v>
      </c>
    </row>
    <row r="60" spans="1:7" x14ac:dyDescent="0.2">
      <c r="A60" s="3">
        <v>2889</v>
      </c>
      <c r="B60" s="3" t="s">
        <v>398</v>
      </c>
      <c r="C60" s="3" t="s">
        <v>24</v>
      </c>
      <c r="D60" s="3" t="s">
        <v>395</v>
      </c>
      <c r="E60" s="3" t="s">
        <v>56</v>
      </c>
      <c r="F60" s="3" t="s">
        <v>393</v>
      </c>
      <c r="G60" s="3" t="s">
        <v>393</v>
      </c>
    </row>
    <row r="61" spans="1:7" x14ac:dyDescent="0.2">
      <c r="A61" s="3">
        <v>2910</v>
      </c>
      <c r="B61" s="3" t="s">
        <v>396</v>
      </c>
      <c r="C61" s="3" t="s">
        <v>164</v>
      </c>
      <c r="D61" s="3" t="s">
        <v>413</v>
      </c>
      <c r="E61" s="3" t="s">
        <v>21</v>
      </c>
      <c r="F61" s="3" t="s">
        <v>393</v>
      </c>
      <c r="G61" s="3" t="s">
        <v>393</v>
      </c>
    </row>
    <row r="62" spans="1:7" x14ac:dyDescent="0.2">
      <c r="A62" s="3">
        <v>2911</v>
      </c>
      <c r="B62" s="3" t="s">
        <v>398</v>
      </c>
      <c r="C62" s="3" t="s">
        <v>24</v>
      </c>
      <c r="D62" s="3" t="s">
        <v>395</v>
      </c>
      <c r="E62" s="3" t="s">
        <v>14</v>
      </c>
      <c r="F62" s="3" t="s">
        <v>393</v>
      </c>
      <c r="G62" s="3" t="s">
        <v>393</v>
      </c>
    </row>
    <row r="63" spans="1:7" x14ac:dyDescent="0.2">
      <c r="A63" s="3">
        <v>2917</v>
      </c>
      <c r="B63" s="3" t="s">
        <v>398</v>
      </c>
      <c r="C63" s="3" t="s">
        <v>24</v>
      </c>
      <c r="D63" s="3" t="s">
        <v>395</v>
      </c>
      <c r="E63" s="3" t="s">
        <v>56</v>
      </c>
      <c r="F63" s="3" t="s">
        <v>49</v>
      </c>
      <c r="G63" s="3" t="s">
        <v>16</v>
      </c>
    </row>
    <row r="64" spans="1:7" x14ac:dyDescent="0.2">
      <c r="A64" s="3">
        <v>2920</v>
      </c>
      <c r="B64" s="3" t="s">
        <v>398</v>
      </c>
      <c r="C64" s="3" t="s">
        <v>24</v>
      </c>
      <c r="D64" s="3" t="s">
        <v>395</v>
      </c>
      <c r="E64" s="3" t="s">
        <v>21</v>
      </c>
      <c r="F64" s="3" t="s">
        <v>73</v>
      </c>
      <c r="G64" s="3" t="s">
        <v>414</v>
      </c>
    </row>
    <row r="65" spans="1:7" x14ac:dyDescent="0.2">
      <c r="A65" s="3">
        <v>2931</v>
      </c>
      <c r="B65" s="3" t="s">
        <v>398</v>
      </c>
      <c r="C65" s="3" t="s">
        <v>24</v>
      </c>
      <c r="D65" s="3" t="s">
        <v>395</v>
      </c>
      <c r="E65" s="3" t="s">
        <v>14</v>
      </c>
      <c r="F65" s="3" t="s">
        <v>393</v>
      </c>
      <c r="G65" s="3" t="s">
        <v>393</v>
      </c>
    </row>
    <row r="66" spans="1:7" x14ac:dyDescent="0.2">
      <c r="A66" s="3">
        <v>2937</v>
      </c>
      <c r="B66" s="3" t="s">
        <v>398</v>
      </c>
      <c r="C66" s="3" t="s">
        <v>24</v>
      </c>
      <c r="D66" s="3" t="s">
        <v>395</v>
      </c>
      <c r="E66" s="3" t="s">
        <v>21</v>
      </c>
      <c r="F66" s="3" t="s">
        <v>146</v>
      </c>
      <c r="G66" s="3" t="s">
        <v>52</v>
      </c>
    </row>
    <row r="67" spans="1:7" x14ac:dyDescent="0.2">
      <c r="A67" s="3">
        <v>2941</v>
      </c>
      <c r="B67" s="3" t="s">
        <v>398</v>
      </c>
      <c r="C67" s="3" t="s">
        <v>24</v>
      </c>
      <c r="D67" s="3" t="s">
        <v>395</v>
      </c>
      <c r="E67" s="3" t="s">
        <v>14</v>
      </c>
      <c r="F67" s="3" t="s">
        <v>393</v>
      </c>
      <c r="G67" s="3" t="s">
        <v>393</v>
      </c>
    </row>
    <row r="68" spans="1:7" x14ac:dyDescent="0.2">
      <c r="A68" s="3">
        <v>2967</v>
      </c>
      <c r="B68" s="3" t="s">
        <v>392</v>
      </c>
      <c r="C68" s="3" t="s">
        <v>24</v>
      </c>
      <c r="D68" s="3" t="s">
        <v>395</v>
      </c>
      <c r="E68" s="3" t="s">
        <v>21</v>
      </c>
      <c r="F68" s="3" t="s">
        <v>146</v>
      </c>
      <c r="G68" s="3" t="s">
        <v>415</v>
      </c>
    </row>
    <row r="69" spans="1:7" x14ac:dyDescent="0.2">
      <c r="A69" s="3">
        <v>2969</v>
      </c>
      <c r="B69" s="3" t="s">
        <v>398</v>
      </c>
      <c r="C69" s="3" t="s">
        <v>24</v>
      </c>
      <c r="D69" s="3" t="s">
        <v>395</v>
      </c>
      <c r="E69" s="3" t="s">
        <v>21</v>
      </c>
      <c r="F69" s="3" t="s">
        <v>416</v>
      </c>
      <c r="G69" s="3" t="s">
        <v>23</v>
      </c>
    </row>
    <row r="70" spans="1:7" x14ac:dyDescent="0.2">
      <c r="A70" s="3">
        <v>3146</v>
      </c>
      <c r="B70" s="3" t="s">
        <v>394</v>
      </c>
      <c r="C70" s="3" t="s">
        <v>24</v>
      </c>
      <c r="D70" s="3" t="s">
        <v>395</v>
      </c>
      <c r="E70" s="3" t="s">
        <v>14</v>
      </c>
      <c r="F70" s="3" t="s">
        <v>393</v>
      </c>
      <c r="G70" s="3" t="s">
        <v>393</v>
      </c>
    </row>
    <row r="71" spans="1:7" x14ac:dyDescent="0.2">
      <c r="A71" s="3">
        <v>3159</v>
      </c>
      <c r="B71" s="3" t="s">
        <v>398</v>
      </c>
      <c r="C71" s="3" t="s">
        <v>17</v>
      </c>
      <c r="D71" s="3" t="s">
        <v>402</v>
      </c>
      <c r="E71" s="3" t="s">
        <v>21</v>
      </c>
      <c r="F71" s="3" t="s">
        <v>51</v>
      </c>
      <c r="G71" s="3" t="s">
        <v>52</v>
      </c>
    </row>
    <row r="72" spans="1:7" x14ac:dyDescent="0.2">
      <c r="A72" s="3">
        <v>3193</v>
      </c>
      <c r="B72" s="3" t="s">
        <v>394</v>
      </c>
      <c r="C72" s="3" t="s">
        <v>24</v>
      </c>
      <c r="D72" s="3" t="s">
        <v>395</v>
      </c>
      <c r="E72" s="3" t="s">
        <v>21</v>
      </c>
      <c r="F72" s="3" t="s">
        <v>25</v>
      </c>
      <c r="G72" s="3" t="s">
        <v>26</v>
      </c>
    </row>
    <row r="73" spans="1:7" x14ac:dyDescent="0.2">
      <c r="A73" s="3">
        <v>3227</v>
      </c>
      <c r="B73" s="3" t="s">
        <v>394</v>
      </c>
      <c r="C73" s="3" t="s">
        <v>38</v>
      </c>
      <c r="D73" s="3" t="s">
        <v>393</v>
      </c>
      <c r="E73" s="3" t="s">
        <v>29</v>
      </c>
      <c r="F73" s="3" t="s">
        <v>15</v>
      </c>
      <c r="G73" s="3" t="s">
        <v>16</v>
      </c>
    </row>
    <row r="74" spans="1:7" x14ac:dyDescent="0.2">
      <c r="A74" s="3">
        <v>3253</v>
      </c>
      <c r="B74" s="3" t="s">
        <v>396</v>
      </c>
      <c r="C74" s="3" t="s">
        <v>164</v>
      </c>
      <c r="D74" s="3" t="s">
        <v>164</v>
      </c>
      <c r="E74" s="3" t="s">
        <v>29</v>
      </c>
      <c r="F74" s="3" t="s">
        <v>400</v>
      </c>
      <c r="G74" s="3" t="s">
        <v>31</v>
      </c>
    </row>
    <row r="75" spans="1:7" x14ac:dyDescent="0.2">
      <c r="A75" s="3">
        <v>3273</v>
      </c>
      <c r="B75" s="3" t="s">
        <v>398</v>
      </c>
      <c r="C75" s="3" t="s">
        <v>17</v>
      </c>
      <c r="D75" s="3" t="s">
        <v>404</v>
      </c>
      <c r="E75" s="3" t="s">
        <v>29</v>
      </c>
      <c r="F75" s="3" t="s">
        <v>51</v>
      </c>
      <c r="G75" s="3" t="s">
        <v>415</v>
      </c>
    </row>
    <row r="76" spans="1:7" x14ac:dyDescent="0.2">
      <c r="A76" s="3">
        <v>3279</v>
      </c>
      <c r="B76" s="3" t="s">
        <v>398</v>
      </c>
      <c r="C76" s="3" t="s">
        <v>17</v>
      </c>
      <c r="D76" s="3" t="s">
        <v>402</v>
      </c>
      <c r="E76" s="3" t="s">
        <v>29</v>
      </c>
      <c r="F76" s="3" t="s">
        <v>51</v>
      </c>
      <c r="G76" s="3" t="s">
        <v>52</v>
      </c>
    </row>
    <row r="77" spans="1:7" x14ac:dyDescent="0.2">
      <c r="A77" s="3">
        <v>3280</v>
      </c>
      <c r="B77" s="3" t="s">
        <v>398</v>
      </c>
      <c r="C77" s="3" t="s">
        <v>17</v>
      </c>
      <c r="D77" s="3" t="s">
        <v>402</v>
      </c>
      <c r="E77" s="3" t="s">
        <v>29</v>
      </c>
      <c r="F77" s="3" t="s">
        <v>51</v>
      </c>
      <c r="G77" s="3" t="s">
        <v>52</v>
      </c>
    </row>
    <row r="78" spans="1:7" x14ac:dyDescent="0.2">
      <c r="A78" s="3">
        <v>3329</v>
      </c>
      <c r="B78" s="3" t="s">
        <v>392</v>
      </c>
      <c r="C78" s="3" t="s">
        <v>65</v>
      </c>
      <c r="D78" s="3" t="s">
        <v>395</v>
      </c>
      <c r="E78" s="3" t="s">
        <v>21</v>
      </c>
      <c r="F78" s="3" t="s">
        <v>73</v>
      </c>
      <c r="G78" s="3" t="s">
        <v>26</v>
      </c>
    </row>
    <row r="79" spans="1:7" x14ac:dyDescent="0.2">
      <c r="A79" s="3">
        <v>3333</v>
      </c>
      <c r="B79" s="3" t="s">
        <v>392</v>
      </c>
      <c r="C79" s="3" t="s">
        <v>65</v>
      </c>
      <c r="D79" s="3" t="s">
        <v>402</v>
      </c>
      <c r="E79" s="3" t="s">
        <v>21</v>
      </c>
      <c r="F79" s="3" t="s">
        <v>58</v>
      </c>
      <c r="G79" s="3" t="s">
        <v>52</v>
      </c>
    </row>
    <row r="80" spans="1:7" x14ac:dyDescent="0.2">
      <c r="A80" s="3">
        <v>3346</v>
      </c>
      <c r="B80" s="3" t="s">
        <v>394</v>
      </c>
      <c r="C80" s="3" t="s">
        <v>32</v>
      </c>
      <c r="D80" s="3" t="s">
        <v>395</v>
      </c>
      <c r="E80" s="3" t="s">
        <v>21</v>
      </c>
      <c r="F80" s="3" t="s">
        <v>61</v>
      </c>
      <c r="G80" s="3" t="s">
        <v>31</v>
      </c>
    </row>
    <row r="81" spans="1:7" x14ac:dyDescent="0.2">
      <c r="A81" s="2">
        <v>3377</v>
      </c>
      <c r="B81" s="3" t="s">
        <v>396</v>
      </c>
      <c r="C81" s="3" t="s">
        <v>27</v>
      </c>
      <c r="D81" t="s">
        <v>404</v>
      </c>
      <c r="E81" t="s">
        <v>14</v>
      </c>
      <c r="F81" t="s">
        <v>58</v>
      </c>
      <c r="G81" t="s">
        <v>401</v>
      </c>
    </row>
    <row r="82" spans="1:7" x14ac:dyDescent="0.2">
      <c r="A82" s="3">
        <v>3504</v>
      </c>
      <c r="B82" s="3" t="s">
        <v>398</v>
      </c>
      <c r="C82" s="3" t="s">
        <v>17</v>
      </c>
      <c r="D82" s="3" t="s">
        <v>402</v>
      </c>
      <c r="E82" s="3" t="s">
        <v>14</v>
      </c>
      <c r="F82" s="3" t="s">
        <v>61</v>
      </c>
      <c r="G82" s="3" t="s">
        <v>31</v>
      </c>
    </row>
    <row r="83" spans="1:7" x14ac:dyDescent="0.2">
      <c r="A83" s="3">
        <v>3570</v>
      </c>
      <c r="B83" s="3" t="s">
        <v>392</v>
      </c>
      <c r="C83" s="3" t="s">
        <v>40</v>
      </c>
      <c r="D83" s="3" t="s">
        <v>395</v>
      </c>
      <c r="E83" s="3" t="s">
        <v>78</v>
      </c>
      <c r="F83" s="3" t="s">
        <v>30</v>
      </c>
      <c r="G83" s="3" t="s">
        <v>409</v>
      </c>
    </row>
    <row r="84" spans="1:7" x14ac:dyDescent="0.2">
      <c r="A84" s="3">
        <v>3637</v>
      </c>
      <c r="B84" s="3" t="s">
        <v>394</v>
      </c>
      <c r="C84" s="3" t="s">
        <v>88</v>
      </c>
      <c r="D84" s="3" t="s">
        <v>395</v>
      </c>
      <c r="E84" s="3" t="s">
        <v>45</v>
      </c>
      <c r="F84" s="3" t="s">
        <v>61</v>
      </c>
      <c r="G84" s="3" t="s">
        <v>31</v>
      </c>
    </row>
    <row r="85" spans="1:7" x14ac:dyDescent="0.2">
      <c r="A85" s="3">
        <v>3658</v>
      </c>
      <c r="B85" s="3" t="s">
        <v>396</v>
      </c>
      <c r="C85" s="3" t="s">
        <v>38</v>
      </c>
      <c r="D85" s="3" t="s">
        <v>395</v>
      </c>
      <c r="E85" s="3" t="s">
        <v>29</v>
      </c>
      <c r="F85" s="3" t="s">
        <v>30</v>
      </c>
      <c r="G85" s="3" t="s">
        <v>31</v>
      </c>
    </row>
    <row r="86" spans="1:7" x14ac:dyDescent="0.2">
      <c r="A86" s="3">
        <v>3675</v>
      </c>
      <c r="B86" s="3" t="s">
        <v>394</v>
      </c>
      <c r="C86" s="3" t="s">
        <v>40</v>
      </c>
      <c r="D86" s="3" t="s">
        <v>402</v>
      </c>
      <c r="E86" s="3" t="s">
        <v>393</v>
      </c>
      <c r="F86" s="3" t="s">
        <v>46</v>
      </c>
      <c r="G86" s="3" t="s">
        <v>43</v>
      </c>
    </row>
    <row r="87" spans="1:7" x14ac:dyDescent="0.2">
      <c r="A87" s="3">
        <v>3683</v>
      </c>
      <c r="B87" s="3" t="s">
        <v>396</v>
      </c>
      <c r="C87" s="3" t="s">
        <v>48</v>
      </c>
      <c r="D87" s="3" t="s">
        <v>402</v>
      </c>
      <c r="E87" s="3" t="s">
        <v>29</v>
      </c>
      <c r="F87" s="3" t="s">
        <v>46</v>
      </c>
      <c r="G87" s="3" t="s">
        <v>43</v>
      </c>
    </row>
    <row r="88" spans="1:7" x14ac:dyDescent="0.2">
      <c r="A88" s="3">
        <v>3747</v>
      </c>
      <c r="B88" s="3" t="s">
        <v>392</v>
      </c>
      <c r="C88" s="3" t="s">
        <v>38</v>
      </c>
      <c r="D88" s="3" t="s">
        <v>402</v>
      </c>
      <c r="E88" s="3" t="s">
        <v>21</v>
      </c>
      <c r="F88" s="3" t="s">
        <v>58</v>
      </c>
      <c r="G88" s="3" t="s">
        <v>52</v>
      </c>
    </row>
    <row r="89" spans="1:7" x14ac:dyDescent="0.2">
      <c r="A89" s="3">
        <v>3810</v>
      </c>
      <c r="B89" s="3" t="s">
        <v>396</v>
      </c>
      <c r="C89" s="3" t="s">
        <v>38</v>
      </c>
      <c r="D89" s="3" t="s">
        <v>402</v>
      </c>
      <c r="E89" s="3" t="s">
        <v>29</v>
      </c>
      <c r="F89" s="3" t="s">
        <v>61</v>
      </c>
      <c r="G89" s="3" t="s">
        <v>31</v>
      </c>
    </row>
    <row r="90" spans="1:7" x14ac:dyDescent="0.2">
      <c r="A90" s="3">
        <v>3857</v>
      </c>
      <c r="B90" s="3" t="s">
        <v>392</v>
      </c>
      <c r="C90" s="3" t="s">
        <v>65</v>
      </c>
      <c r="D90" s="3" t="s">
        <v>395</v>
      </c>
      <c r="E90" s="3" t="s">
        <v>21</v>
      </c>
      <c r="F90" s="3" t="s">
        <v>121</v>
      </c>
      <c r="G90" s="3" t="s">
        <v>43</v>
      </c>
    </row>
    <row r="91" spans="1:7" x14ac:dyDescent="0.2">
      <c r="A91" s="3">
        <v>3908</v>
      </c>
      <c r="B91" s="3" t="s">
        <v>396</v>
      </c>
      <c r="C91" s="3" t="s">
        <v>55</v>
      </c>
      <c r="D91" s="3" t="s">
        <v>395</v>
      </c>
      <c r="E91" s="3" t="s">
        <v>29</v>
      </c>
      <c r="F91" s="3" t="s">
        <v>49</v>
      </c>
      <c r="G91" s="3" t="s">
        <v>16</v>
      </c>
    </row>
    <row r="92" spans="1:7" x14ac:dyDescent="0.2">
      <c r="A92" s="3">
        <v>3959</v>
      </c>
      <c r="B92" s="3" t="s">
        <v>396</v>
      </c>
      <c r="C92" s="3" t="s">
        <v>17</v>
      </c>
      <c r="D92" s="3" t="s">
        <v>164</v>
      </c>
      <c r="E92" s="3" t="s">
        <v>21</v>
      </c>
      <c r="F92" s="3" t="s">
        <v>49</v>
      </c>
      <c r="G92" s="3" t="s">
        <v>16</v>
      </c>
    </row>
    <row r="93" spans="1:7" x14ac:dyDescent="0.2">
      <c r="A93" s="3">
        <v>3968</v>
      </c>
      <c r="B93" s="3" t="s">
        <v>394</v>
      </c>
      <c r="C93" s="3" t="s">
        <v>38</v>
      </c>
      <c r="D93" s="3" t="s">
        <v>395</v>
      </c>
      <c r="E93" s="3" t="s">
        <v>14</v>
      </c>
      <c r="F93" s="3" t="s">
        <v>132</v>
      </c>
      <c r="G93" s="3" t="s">
        <v>26</v>
      </c>
    </row>
    <row r="94" spans="1:7" x14ac:dyDescent="0.2">
      <c r="A94" s="3">
        <v>4054</v>
      </c>
      <c r="B94" s="3" t="s">
        <v>396</v>
      </c>
      <c r="C94" s="3" t="s">
        <v>24</v>
      </c>
      <c r="D94" s="3" t="s">
        <v>395</v>
      </c>
      <c r="E94" s="3" t="s">
        <v>29</v>
      </c>
      <c r="F94" s="3" t="s">
        <v>30</v>
      </c>
      <c r="G94" s="3" t="s">
        <v>31</v>
      </c>
    </row>
    <row r="95" spans="1:7" x14ac:dyDescent="0.2">
      <c r="A95" s="3">
        <v>4086</v>
      </c>
      <c r="B95" s="3" t="s">
        <v>392</v>
      </c>
      <c r="C95" s="3" t="s">
        <v>65</v>
      </c>
      <c r="D95" s="3" t="s">
        <v>395</v>
      </c>
      <c r="E95" s="3" t="s">
        <v>21</v>
      </c>
      <c r="F95" s="3" t="s">
        <v>91</v>
      </c>
      <c r="G95" s="3" t="s">
        <v>26</v>
      </c>
    </row>
    <row r="96" spans="1:7" x14ac:dyDescent="0.2">
      <c r="A96" s="3">
        <v>4136</v>
      </c>
      <c r="B96" s="3" t="s">
        <v>392</v>
      </c>
      <c r="C96" s="3" t="s">
        <v>40</v>
      </c>
      <c r="D96" s="3" t="s">
        <v>395</v>
      </c>
      <c r="E96" s="3" t="s">
        <v>21</v>
      </c>
      <c r="F96" s="3" t="s">
        <v>49</v>
      </c>
      <c r="G96" s="3" t="s">
        <v>16</v>
      </c>
    </row>
    <row r="97" spans="1:7" x14ac:dyDescent="0.2">
      <c r="A97" s="3">
        <v>4277</v>
      </c>
      <c r="B97" s="3" t="s">
        <v>398</v>
      </c>
      <c r="C97" s="3" t="s">
        <v>17</v>
      </c>
      <c r="D97" s="3" t="s">
        <v>402</v>
      </c>
      <c r="E97" s="3" t="s">
        <v>56</v>
      </c>
      <c r="F97" s="3" t="s">
        <v>46</v>
      </c>
      <c r="G97" s="3" t="s">
        <v>43</v>
      </c>
    </row>
    <row r="98" spans="1:7" x14ac:dyDescent="0.2">
      <c r="A98" s="3">
        <v>4280</v>
      </c>
      <c r="B98" s="3" t="s">
        <v>398</v>
      </c>
      <c r="C98" s="3" t="s">
        <v>17</v>
      </c>
      <c r="D98" s="3" t="s">
        <v>402</v>
      </c>
      <c r="E98" s="3" t="s">
        <v>56</v>
      </c>
      <c r="F98" s="3" t="s">
        <v>46</v>
      </c>
      <c r="G98" s="3" t="s">
        <v>43</v>
      </c>
    </row>
    <row r="99" spans="1:7" x14ac:dyDescent="0.2">
      <c r="A99" s="3">
        <v>4305</v>
      </c>
      <c r="B99" s="3" t="s">
        <v>396</v>
      </c>
      <c r="C99" s="3" t="s">
        <v>164</v>
      </c>
      <c r="D99" s="3" t="s">
        <v>164</v>
      </c>
      <c r="E99" s="3" t="s">
        <v>56</v>
      </c>
      <c r="F99" s="3" t="s">
        <v>128</v>
      </c>
      <c r="G99" s="3" t="s">
        <v>52</v>
      </c>
    </row>
    <row r="100" spans="1:7" x14ac:dyDescent="0.2">
      <c r="A100" s="2">
        <v>4335</v>
      </c>
      <c r="B100" s="3" t="s">
        <v>396</v>
      </c>
      <c r="C100" s="3" t="s">
        <v>38</v>
      </c>
      <c r="D100" t="s">
        <v>402</v>
      </c>
      <c r="E100" t="s">
        <v>29</v>
      </c>
      <c r="F100" t="s">
        <v>30</v>
      </c>
      <c r="G100" t="s">
        <v>31</v>
      </c>
    </row>
    <row r="101" spans="1:7" ht="16" x14ac:dyDescent="0.2">
      <c r="A101" s="3">
        <v>4379</v>
      </c>
      <c r="B101" s="3" t="s">
        <v>392</v>
      </c>
      <c r="C101" s="3" t="s">
        <v>65</v>
      </c>
      <c r="D101" s="3" t="s">
        <v>164</v>
      </c>
      <c r="E101" s="3" t="s">
        <v>21</v>
      </c>
      <c r="F101" s="4" t="s">
        <v>393</v>
      </c>
      <c r="G101" s="3" t="s">
        <v>23</v>
      </c>
    </row>
    <row r="102" spans="1:7" x14ac:dyDescent="0.2">
      <c r="A102" s="3">
        <v>4479</v>
      </c>
      <c r="B102" s="3" t="s">
        <v>398</v>
      </c>
      <c r="C102" s="3" t="s">
        <v>65</v>
      </c>
      <c r="D102" s="3" t="s">
        <v>164</v>
      </c>
      <c r="E102" s="3" t="s">
        <v>56</v>
      </c>
      <c r="F102" s="3" t="s">
        <v>113</v>
      </c>
      <c r="G102" s="3" t="s">
        <v>16</v>
      </c>
    </row>
    <row r="103" spans="1:7" x14ac:dyDescent="0.2">
      <c r="A103" s="3">
        <v>4533</v>
      </c>
      <c r="B103" s="3" t="s">
        <v>398</v>
      </c>
      <c r="C103" s="3" t="s">
        <v>38</v>
      </c>
      <c r="D103" s="3" t="s">
        <v>395</v>
      </c>
      <c r="E103" s="3" t="s">
        <v>29</v>
      </c>
      <c r="F103" s="3" t="s">
        <v>30</v>
      </c>
      <c r="G103" s="3" t="s">
        <v>31</v>
      </c>
    </row>
    <row r="104" spans="1:7" x14ac:dyDescent="0.2">
      <c r="A104" s="3">
        <v>4607</v>
      </c>
      <c r="B104" s="3" t="s">
        <v>394</v>
      </c>
      <c r="C104" s="3" t="s">
        <v>38</v>
      </c>
      <c r="D104" s="3" t="s">
        <v>402</v>
      </c>
      <c r="E104" s="3" t="s">
        <v>21</v>
      </c>
      <c r="F104" s="3" t="s">
        <v>51</v>
      </c>
      <c r="G104" s="3" t="s">
        <v>52</v>
      </c>
    </row>
    <row r="105" spans="1:7" x14ac:dyDescent="0.2">
      <c r="A105">
        <v>4653</v>
      </c>
      <c r="B105" t="s">
        <v>396</v>
      </c>
      <c r="C105" t="s">
        <v>38</v>
      </c>
      <c r="D105" t="s">
        <v>395</v>
      </c>
      <c r="E105" t="s">
        <v>29</v>
      </c>
      <c r="F105" t="s">
        <v>25</v>
      </c>
      <c r="G105" t="s">
        <v>26</v>
      </c>
    </row>
    <row r="106" spans="1:7" x14ac:dyDescent="0.2">
      <c r="A106" s="3">
        <v>4698</v>
      </c>
      <c r="B106" s="3" t="s">
        <v>392</v>
      </c>
      <c r="C106" s="3" t="s">
        <v>65</v>
      </c>
      <c r="D106" s="3" t="s">
        <v>395</v>
      </c>
      <c r="E106" s="3" t="s">
        <v>21</v>
      </c>
      <c r="F106" s="3" t="s">
        <v>22</v>
      </c>
      <c r="G106" s="3" t="s">
        <v>23</v>
      </c>
    </row>
    <row r="107" spans="1:7" x14ac:dyDescent="0.2">
      <c r="A107" s="3">
        <v>4699</v>
      </c>
      <c r="B107" s="3" t="s">
        <v>392</v>
      </c>
      <c r="C107" s="3" t="s">
        <v>65</v>
      </c>
      <c r="D107" s="3" t="s">
        <v>395</v>
      </c>
      <c r="E107" s="3" t="s">
        <v>21</v>
      </c>
      <c r="F107" s="3" t="s">
        <v>22</v>
      </c>
      <c r="G107" s="3" t="s">
        <v>23</v>
      </c>
    </row>
    <row r="108" spans="1:7" x14ac:dyDescent="0.2">
      <c r="A108" s="3">
        <v>4744</v>
      </c>
      <c r="B108" s="3" t="s">
        <v>398</v>
      </c>
      <c r="C108" s="3" t="s">
        <v>17</v>
      </c>
      <c r="D108" s="3" t="s">
        <v>402</v>
      </c>
      <c r="E108" s="3" t="s">
        <v>21</v>
      </c>
      <c r="F108" s="3" t="s">
        <v>46</v>
      </c>
      <c r="G108" s="3" t="s">
        <v>43</v>
      </c>
    </row>
    <row r="109" spans="1:7" x14ac:dyDescent="0.2">
      <c r="A109" s="3">
        <v>4745</v>
      </c>
      <c r="B109" s="3" t="s">
        <v>398</v>
      </c>
      <c r="C109" s="3" t="s">
        <v>17</v>
      </c>
      <c r="D109" s="3" t="s">
        <v>402</v>
      </c>
      <c r="E109" s="3" t="s">
        <v>21</v>
      </c>
      <c r="F109" s="3" t="s">
        <v>46</v>
      </c>
      <c r="G109" s="3" t="s">
        <v>43</v>
      </c>
    </row>
    <row r="110" spans="1:7" x14ac:dyDescent="0.2">
      <c r="A110" s="3">
        <v>4750</v>
      </c>
      <c r="B110" s="3" t="s">
        <v>396</v>
      </c>
      <c r="C110" s="3" t="s">
        <v>88</v>
      </c>
      <c r="D110" s="3" t="s">
        <v>402</v>
      </c>
      <c r="E110" s="3" t="s">
        <v>45</v>
      </c>
      <c r="F110" s="3" t="s">
        <v>61</v>
      </c>
      <c r="G110" s="3" t="s">
        <v>31</v>
      </c>
    </row>
    <row r="111" spans="1:7" x14ac:dyDescent="0.2">
      <c r="A111" s="3">
        <v>4838</v>
      </c>
      <c r="B111" s="3" t="s">
        <v>396</v>
      </c>
      <c r="C111" s="3" t="s">
        <v>17</v>
      </c>
      <c r="D111" s="3" t="s">
        <v>164</v>
      </c>
      <c r="E111" s="3" t="s">
        <v>21</v>
      </c>
      <c r="F111" s="3" t="s">
        <v>81</v>
      </c>
      <c r="G111" s="3" t="s">
        <v>31</v>
      </c>
    </row>
    <row r="112" spans="1:7" x14ac:dyDescent="0.2">
      <c r="A112">
        <v>4865</v>
      </c>
      <c r="B112" t="s">
        <v>394</v>
      </c>
      <c r="C112" t="s">
        <v>17</v>
      </c>
      <c r="D112" t="s">
        <v>164</v>
      </c>
      <c r="E112" t="s">
        <v>21</v>
      </c>
      <c r="F112" t="s">
        <v>84</v>
      </c>
      <c r="G112" t="s">
        <v>23</v>
      </c>
    </row>
    <row r="113" spans="1:7" x14ac:dyDescent="0.2">
      <c r="A113" s="3">
        <v>4866</v>
      </c>
      <c r="B113" s="3" t="s">
        <v>396</v>
      </c>
      <c r="C113" s="3" t="s">
        <v>17</v>
      </c>
      <c r="D113" s="3" t="s">
        <v>164</v>
      </c>
      <c r="E113" s="3" t="s">
        <v>21</v>
      </c>
      <c r="F113" s="3" t="s">
        <v>49</v>
      </c>
      <c r="G113" s="3" t="s">
        <v>16</v>
      </c>
    </row>
    <row r="114" spans="1:7" x14ac:dyDescent="0.2">
      <c r="A114" s="3">
        <v>5034</v>
      </c>
      <c r="B114" s="3" t="s">
        <v>394</v>
      </c>
      <c r="C114" s="3" t="s">
        <v>38</v>
      </c>
      <c r="D114" s="3" t="s">
        <v>395</v>
      </c>
      <c r="E114" s="3" t="s">
        <v>21</v>
      </c>
      <c r="F114" s="3" t="s">
        <v>91</v>
      </c>
      <c r="G114" s="3" t="s">
        <v>26</v>
      </c>
    </row>
    <row r="115" spans="1:7" x14ac:dyDescent="0.2">
      <c r="A115" s="3">
        <v>5148</v>
      </c>
      <c r="B115" s="3" t="s">
        <v>396</v>
      </c>
      <c r="C115" s="3" t="s">
        <v>17</v>
      </c>
      <c r="D115" s="3" t="s">
        <v>164</v>
      </c>
      <c r="E115" s="3" t="s">
        <v>21</v>
      </c>
      <c r="F115" s="3" t="s">
        <v>49</v>
      </c>
      <c r="G115" s="3" t="s">
        <v>16</v>
      </c>
    </row>
    <row r="116" spans="1:7" x14ac:dyDescent="0.2">
      <c r="A116" s="3">
        <v>5174</v>
      </c>
      <c r="B116" s="3" t="s">
        <v>396</v>
      </c>
      <c r="C116" s="3" t="s">
        <v>38</v>
      </c>
      <c r="D116" s="3" t="s">
        <v>402</v>
      </c>
      <c r="E116" s="3" t="s">
        <v>29</v>
      </c>
      <c r="F116" s="3" t="s">
        <v>61</v>
      </c>
      <c r="G116" s="3" t="s">
        <v>31</v>
      </c>
    </row>
    <row r="117" spans="1:7" x14ac:dyDescent="0.2">
      <c r="A117">
        <v>5315</v>
      </c>
      <c r="B117" t="s">
        <v>396</v>
      </c>
      <c r="C117" t="s">
        <v>32</v>
      </c>
      <c r="D117" t="s">
        <v>402</v>
      </c>
      <c r="E117" t="s">
        <v>29</v>
      </c>
      <c r="F117" t="s">
        <v>61</v>
      </c>
      <c r="G117" t="s">
        <v>31</v>
      </c>
    </row>
    <row r="118" spans="1:7" x14ac:dyDescent="0.2">
      <c r="A118" s="2">
        <v>5333</v>
      </c>
      <c r="B118" s="3" t="s">
        <v>398</v>
      </c>
      <c r="C118" s="3" t="s">
        <v>164</v>
      </c>
      <c r="D118" t="s">
        <v>164</v>
      </c>
      <c r="E118" t="s">
        <v>56</v>
      </c>
      <c r="F118" t="s">
        <v>144</v>
      </c>
      <c r="G118" t="s">
        <v>401</v>
      </c>
    </row>
    <row r="119" spans="1:7" x14ac:dyDescent="0.2">
      <c r="A119" s="2">
        <v>5403</v>
      </c>
      <c r="B119" s="3" t="s">
        <v>398</v>
      </c>
      <c r="C119" s="3" t="s">
        <v>27</v>
      </c>
      <c r="D119" t="s">
        <v>402</v>
      </c>
      <c r="E119" t="s">
        <v>21</v>
      </c>
      <c r="F119" t="s">
        <v>58</v>
      </c>
      <c r="G119" t="s">
        <v>401</v>
      </c>
    </row>
    <row r="120" spans="1:7" x14ac:dyDescent="0.2">
      <c r="A120" s="3">
        <v>5476</v>
      </c>
      <c r="B120" s="3" t="s">
        <v>398</v>
      </c>
      <c r="C120" s="3" t="s">
        <v>164</v>
      </c>
      <c r="D120" s="3" t="s">
        <v>413</v>
      </c>
      <c r="E120" s="3" t="s">
        <v>14</v>
      </c>
      <c r="F120" s="3" t="s">
        <v>393</v>
      </c>
      <c r="G120" s="3" t="s">
        <v>393</v>
      </c>
    </row>
    <row r="121" spans="1:7" x14ac:dyDescent="0.2">
      <c r="A121" s="2">
        <v>5800</v>
      </c>
      <c r="B121" s="3" t="s">
        <v>396</v>
      </c>
      <c r="C121" s="3" t="s">
        <v>411</v>
      </c>
      <c r="D121" t="s">
        <v>395</v>
      </c>
      <c r="E121" t="s">
        <v>21</v>
      </c>
      <c r="F121" t="s">
        <v>134</v>
      </c>
      <c r="G121" t="s">
        <v>31</v>
      </c>
    </row>
    <row r="122" spans="1:7" x14ac:dyDescent="0.2">
      <c r="A122" s="2">
        <v>6291</v>
      </c>
      <c r="B122" s="3" t="s">
        <v>398</v>
      </c>
      <c r="C122" s="3" t="s">
        <v>164</v>
      </c>
      <c r="D122" t="s">
        <v>164</v>
      </c>
      <c r="E122" t="s">
        <v>14</v>
      </c>
      <c r="F122" t="s">
        <v>407</v>
      </c>
      <c r="G122" t="s">
        <v>408</v>
      </c>
    </row>
    <row r="123" spans="1:7" x14ac:dyDescent="0.2">
      <c r="A123" s="3">
        <v>6315</v>
      </c>
      <c r="B123" s="3" t="s">
        <v>394</v>
      </c>
      <c r="C123" s="3" t="s">
        <v>164</v>
      </c>
      <c r="D123" s="3" t="s">
        <v>164</v>
      </c>
      <c r="E123" s="3" t="s">
        <v>21</v>
      </c>
      <c r="F123" s="3" t="s">
        <v>393</v>
      </c>
      <c r="G123" s="3" t="s">
        <v>393</v>
      </c>
    </row>
    <row r="124" spans="1:7" x14ac:dyDescent="0.2">
      <c r="A124" s="3">
        <v>6613</v>
      </c>
      <c r="B124" s="3" t="s">
        <v>394</v>
      </c>
      <c r="C124" s="3" t="s">
        <v>17</v>
      </c>
      <c r="D124" s="3" t="s">
        <v>413</v>
      </c>
      <c r="E124" s="3" t="s">
        <v>56</v>
      </c>
      <c r="F124" s="3" t="s">
        <v>393</v>
      </c>
      <c r="G124" s="3" t="s">
        <v>393</v>
      </c>
    </row>
    <row r="125" spans="1:7" x14ac:dyDescent="0.2">
      <c r="A125" s="3">
        <v>6971</v>
      </c>
      <c r="B125" s="3" t="s">
        <v>396</v>
      </c>
      <c r="C125" s="3" t="s">
        <v>88</v>
      </c>
      <c r="D125" s="3" t="s">
        <v>402</v>
      </c>
      <c r="E125" s="3" t="s">
        <v>45</v>
      </c>
      <c r="F125" s="3" t="s">
        <v>113</v>
      </c>
      <c r="G125" s="3" t="s">
        <v>417</v>
      </c>
    </row>
    <row r="126" spans="1:7" x14ac:dyDescent="0.2">
      <c r="A126">
        <v>7345</v>
      </c>
      <c r="B126" t="s">
        <v>396</v>
      </c>
      <c r="C126" t="s">
        <v>24</v>
      </c>
      <c r="D126" t="s">
        <v>402</v>
      </c>
      <c r="E126" t="s">
        <v>45</v>
      </c>
      <c r="F126" t="s">
        <v>61</v>
      </c>
      <c r="G126" t="s">
        <v>31</v>
      </c>
    </row>
    <row r="127" spans="1:7" x14ac:dyDescent="0.2">
      <c r="A127">
        <v>7536</v>
      </c>
      <c r="B127" t="s">
        <v>398</v>
      </c>
      <c r="C127" t="s">
        <v>38</v>
      </c>
      <c r="D127" t="s">
        <v>395</v>
      </c>
      <c r="E127" t="s">
        <v>109</v>
      </c>
      <c r="F127" t="s">
        <v>49</v>
      </c>
      <c r="G127" t="s">
        <v>16</v>
      </c>
    </row>
    <row r="128" spans="1:7" x14ac:dyDescent="0.2">
      <c r="A128">
        <v>7788</v>
      </c>
      <c r="B128" t="s">
        <v>394</v>
      </c>
      <c r="C128" t="s">
        <v>164</v>
      </c>
      <c r="D128" t="s">
        <v>164</v>
      </c>
      <c r="E128" t="s">
        <v>56</v>
      </c>
      <c r="F128" t="s">
        <v>113</v>
      </c>
      <c r="G128" t="s">
        <v>16</v>
      </c>
    </row>
    <row r="129" spans="1:7" x14ac:dyDescent="0.2">
      <c r="A129">
        <v>7805</v>
      </c>
      <c r="B129" t="s">
        <v>396</v>
      </c>
      <c r="C129" t="s">
        <v>32</v>
      </c>
      <c r="D129" t="s">
        <v>164</v>
      </c>
      <c r="E129" t="s">
        <v>21</v>
      </c>
      <c r="F129" t="s">
        <v>71</v>
      </c>
      <c r="G129" t="s">
        <v>16</v>
      </c>
    </row>
    <row r="130" spans="1:7" x14ac:dyDescent="0.2">
      <c r="A130">
        <v>7837</v>
      </c>
      <c r="B130" t="s">
        <v>396</v>
      </c>
      <c r="C130" t="s">
        <v>24</v>
      </c>
      <c r="D130" t="s">
        <v>402</v>
      </c>
      <c r="E130" t="s">
        <v>29</v>
      </c>
      <c r="F130" t="s">
        <v>61</v>
      </c>
      <c r="G130" t="s">
        <v>31</v>
      </c>
    </row>
    <row r="131" spans="1:7" x14ac:dyDescent="0.2">
      <c r="A131">
        <v>7995</v>
      </c>
      <c r="B131" t="s">
        <v>392</v>
      </c>
      <c r="C131" t="s">
        <v>27</v>
      </c>
      <c r="D131" t="s">
        <v>395</v>
      </c>
      <c r="E131" t="s">
        <v>21</v>
      </c>
      <c r="F131" t="s">
        <v>49</v>
      </c>
      <c r="G131" t="s">
        <v>16</v>
      </c>
    </row>
    <row r="132" spans="1:7" x14ac:dyDescent="0.2">
      <c r="A132">
        <v>8232</v>
      </c>
      <c r="B132" t="s">
        <v>396</v>
      </c>
      <c r="C132" t="s">
        <v>88</v>
      </c>
      <c r="D132" t="s">
        <v>404</v>
      </c>
      <c r="E132" t="s">
        <v>45</v>
      </c>
      <c r="F132" t="s">
        <v>51</v>
      </c>
      <c r="G132" t="s">
        <v>52</v>
      </c>
    </row>
    <row r="133" spans="1:7" x14ac:dyDescent="0.2">
      <c r="A133">
        <v>8263</v>
      </c>
      <c r="B133" t="s">
        <v>392</v>
      </c>
      <c r="C133" t="s">
        <v>38</v>
      </c>
      <c r="D133" t="s">
        <v>395</v>
      </c>
      <c r="E133" t="s">
        <v>21</v>
      </c>
      <c r="F133" t="s">
        <v>106</v>
      </c>
      <c r="G133" t="s">
        <v>31</v>
      </c>
    </row>
    <row r="134" spans="1:7" x14ac:dyDescent="0.2">
      <c r="A134">
        <v>8366</v>
      </c>
      <c r="B134" t="s">
        <v>396</v>
      </c>
      <c r="C134" t="s">
        <v>65</v>
      </c>
      <c r="D134" t="s">
        <v>412</v>
      </c>
      <c r="E134" t="s">
        <v>56</v>
      </c>
      <c r="F134" t="s">
        <v>144</v>
      </c>
      <c r="G134" t="s">
        <v>43</v>
      </c>
    </row>
    <row r="135" spans="1:7" x14ac:dyDescent="0.2">
      <c r="A135">
        <v>8397</v>
      </c>
      <c r="B135" t="s">
        <v>396</v>
      </c>
      <c r="C135" t="s">
        <v>17</v>
      </c>
      <c r="D135" t="s">
        <v>395</v>
      </c>
      <c r="E135" t="s">
        <v>21</v>
      </c>
      <c r="F135" t="s">
        <v>57</v>
      </c>
      <c r="G135" t="s">
        <v>31</v>
      </c>
    </row>
    <row r="136" spans="1:7" x14ac:dyDescent="0.2">
      <c r="A136">
        <v>8401</v>
      </c>
      <c r="B136" t="s">
        <v>398</v>
      </c>
      <c r="C136" t="s">
        <v>38</v>
      </c>
      <c r="D136" t="s">
        <v>395</v>
      </c>
      <c r="E136" t="s">
        <v>29</v>
      </c>
      <c r="F136" t="s">
        <v>57</v>
      </c>
      <c r="G136" t="s">
        <v>31</v>
      </c>
    </row>
    <row r="137" spans="1:7" x14ac:dyDescent="0.2">
      <c r="A137">
        <v>8410</v>
      </c>
      <c r="B137" t="s">
        <v>396</v>
      </c>
      <c r="C137" t="s">
        <v>17</v>
      </c>
      <c r="D137" t="s">
        <v>395</v>
      </c>
      <c r="E137" t="s">
        <v>14</v>
      </c>
      <c r="F137" t="s">
        <v>57</v>
      </c>
      <c r="G137" t="s">
        <v>31</v>
      </c>
    </row>
    <row r="138" spans="1:7" x14ac:dyDescent="0.2">
      <c r="A138">
        <v>8425</v>
      </c>
      <c r="B138" t="s">
        <v>398</v>
      </c>
      <c r="C138" t="s">
        <v>38</v>
      </c>
      <c r="D138" t="s">
        <v>395</v>
      </c>
      <c r="E138" t="s">
        <v>29</v>
      </c>
      <c r="F138" t="s">
        <v>57</v>
      </c>
      <c r="G138" t="s">
        <v>31</v>
      </c>
    </row>
    <row r="139" spans="1:7" x14ac:dyDescent="0.2">
      <c r="A139">
        <v>8509</v>
      </c>
      <c r="B139" t="s">
        <v>396</v>
      </c>
      <c r="C139" t="s">
        <v>17</v>
      </c>
      <c r="D139" t="s">
        <v>395</v>
      </c>
      <c r="E139" t="s">
        <v>21</v>
      </c>
      <c r="F139" t="s">
        <v>57</v>
      </c>
      <c r="G139" t="s">
        <v>31</v>
      </c>
    </row>
    <row r="140" spans="1:7" x14ac:dyDescent="0.2">
      <c r="A140">
        <v>8589</v>
      </c>
      <c r="B140" t="s">
        <v>392</v>
      </c>
      <c r="C140" t="s">
        <v>38</v>
      </c>
      <c r="D140" t="s">
        <v>395</v>
      </c>
      <c r="E140" t="s">
        <v>21</v>
      </c>
      <c r="F140" t="s">
        <v>49</v>
      </c>
      <c r="G140" t="s">
        <v>16</v>
      </c>
    </row>
    <row r="141" spans="1:7" x14ac:dyDescent="0.2">
      <c r="A141">
        <v>8600</v>
      </c>
      <c r="B141" t="s">
        <v>394</v>
      </c>
      <c r="C141" t="s">
        <v>164</v>
      </c>
      <c r="D141" t="s">
        <v>393</v>
      </c>
      <c r="E141" t="s">
        <v>56</v>
      </c>
      <c r="F141" t="s">
        <v>113</v>
      </c>
      <c r="G141" t="s">
        <v>16</v>
      </c>
    </row>
    <row r="142" spans="1:7" x14ac:dyDescent="0.2">
      <c r="A142">
        <v>8655</v>
      </c>
      <c r="B142" t="s">
        <v>398</v>
      </c>
      <c r="C142" t="s">
        <v>40</v>
      </c>
      <c r="D142" t="s">
        <v>393</v>
      </c>
      <c r="E142" t="s">
        <v>78</v>
      </c>
      <c r="F142" t="s">
        <v>79</v>
      </c>
      <c r="G142" t="s">
        <v>43</v>
      </c>
    </row>
    <row r="143" spans="1:7" x14ac:dyDescent="0.2">
      <c r="A143">
        <v>8850</v>
      </c>
      <c r="B143" t="s">
        <v>396</v>
      </c>
      <c r="C143" t="s">
        <v>65</v>
      </c>
      <c r="D143" t="s">
        <v>395</v>
      </c>
      <c r="E143" t="s">
        <v>29</v>
      </c>
      <c r="F143" t="s">
        <v>57</v>
      </c>
      <c r="G143" t="s">
        <v>65</v>
      </c>
    </row>
    <row r="144" spans="1:7" x14ac:dyDescent="0.2">
      <c r="A144">
        <v>8852</v>
      </c>
      <c r="B144" t="s">
        <v>396</v>
      </c>
      <c r="C144" t="s">
        <v>17</v>
      </c>
      <c r="D144" t="s">
        <v>395</v>
      </c>
      <c r="E144" t="s">
        <v>29</v>
      </c>
      <c r="F144" t="s">
        <v>57</v>
      </c>
      <c r="G144" t="s">
        <v>31</v>
      </c>
    </row>
    <row r="145" spans="1:7" x14ac:dyDescent="0.2">
      <c r="A145">
        <v>8919</v>
      </c>
      <c r="B145" t="s">
        <v>392</v>
      </c>
      <c r="C145" t="s">
        <v>65</v>
      </c>
      <c r="D145" t="s">
        <v>395</v>
      </c>
      <c r="E145" t="s">
        <v>21</v>
      </c>
      <c r="F145" t="s">
        <v>113</v>
      </c>
      <c r="G145" t="s">
        <v>16</v>
      </c>
    </row>
    <row r="146" spans="1:7" x14ac:dyDescent="0.2">
      <c r="A146">
        <v>9023</v>
      </c>
      <c r="B146" t="s">
        <v>396</v>
      </c>
      <c r="C146" t="s">
        <v>17</v>
      </c>
      <c r="D146" t="s">
        <v>395</v>
      </c>
      <c r="E146" t="s">
        <v>56</v>
      </c>
      <c r="F146" t="s">
        <v>57</v>
      </c>
      <c r="G146" t="s">
        <v>31</v>
      </c>
    </row>
    <row r="147" spans="1:7" x14ac:dyDescent="0.2">
      <c r="A147">
        <v>9293</v>
      </c>
      <c r="B147" t="s">
        <v>396</v>
      </c>
      <c r="C147" t="s">
        <v>17</v>
      </c>
      <c r="D147" t="s">
        <v>395</v>
      </c>
      <c r="E147" t="s">
        <v>21</v>
      </c>
      <c r="F147" t="s">
        <v>57</v>
      </c>
      <c r="G147" t="s">
        <v>31</v>
      </c>
    </row>
    <row r="148" spans="1:7" x14ac:dyDescent="0.2">
      <c r="A148">
        <v>9343</v>
      </c>
      <c r="B148" t="s">
        <v>392</v>
      </c>
      <c r="C148" t="s">
        <v>27</v>
      </c>
      <c r="D148" t="s">
        <v>395</v>
      </c>
      <c r="E148" t="s">
        <v>21</v>
      </c>
      <c r="F148" t="s">
        <v>49</v>
      </c>
      <c r="G148" t="s">
        <v>16</v>
      </c>
    </row>
    <row r="149" spans="1:7" x14ac:dyDescent="0.2">
      <c r="A149">
        <v>9366</v>
      </c>
      <c r="B149" t="s">
        <v>396</v>
      </c>
      <c r="C149" t="s">
        <v>65</v>
      </c>
      <c r="D149" t="s">
        <v>395</v>
      </c>
      <c r="E149" t="s">
        <v>29</v>
      </c>
      <c r="F149" t="s">
        <v>25</v>
      </c>
      <c r="G149" t="s">
        <v>26</v>
      </c>
    </row>
    <row r="150" spans="1:7" x14ac:dyDescent="0.2">
      <c r="A150">
        <v>9370</v>
      </c>
      <c r="B150" t="s">
        <v>396</v>
      </c>
      <c r="C150" t="s">
        <v>65</v>
      </c>
      <c r="D150" t="s">
        <v>393</v>
      </c>
      <c r="E150" t="s">
        <v>29</v>
      </c>
      <c r="F150" t="s">
        <v>25</v>
      </c>
      <c r="G150" t="s">
        <v>26</v>
      </c>
    </row>
    <row r="151" spans="1:7" x14ac:dyDescent="0.2">
      <c r="A151">
        <v>9444</v>
      </c>
      <c r="B151" t="s">
        <v>396</v>
      </c>
      <c r="C151" t="s">
        <v>38</v>
      </c>
      <c r="D151" t="s">
        <v>395</v>
      </c>
      <c r="E151" t="s">
        <v>29</v>
      </c>
      <c r="F151" t="s">
        <v>25</v>
      </c>
      <c r="G151" t="s">
        <v>26</v>
      </c>
    </row>
    <row r="152" spans="1:7" x14ac:dyDescent="0.2">
      <c r="A152">
        <v>9447</v>
      </c>
      <c r="B152" t="s">
        <v>396</v>
      </c>
      <c r="C152" t="s">
        <v>65</v>
      </c>
      <c r="D152" t="s">
        <v>393</v>
      </c>
      <c r="E152" t="s">
        <v>29</v>
      </c>
      <c r="F152" t="s">
        <v>25</v>
      </c>
      <c r="G152" t="s">
        <v>26</v>
      </c>
    </row>
    <row r="153" spans="1:7" x14ac:dyDescent="0.2">
      <c r="A153" s="3">
        <v>9452</v>
      </c>
      <c r="B153" s="3" t="s">
        <v>396</v>
      </c>
      <c r="C153" s="3" t="s">
        <v>38</v>
      </c>
      <c r="D153" s="3" t="s">
        <v>395</v>
      </c>
      <c r="E153" s="3" t="s">
        <v>29</v>
      </c>
      <c r="F153" s="3" t="s">
        <v>25</v>
      </c>
      <c r="G153" s="3" t="s">
        <v>414</v>
      </c>
    </row>
    <row r="154" spans="1:7" x14ac:dyDescent="0.2">
      <c r="A154">
        <v>9454</v>
      </c>
      <c r="B154" t="s">
        <v>396</v>
      </c>
      <c r="C154" t="s">
        <v>38</v>
      </c>
      <c r="D154" t="s">
        <v>395</v>
      </c>
      <c r="E154" t="s">
        <v>29</v>
      </c>
      <c r="F154" t="s">
        <v>25</v>
      </c>
      <c r="G154" t="s">
        <v>26</v>
      </c>
    </row>
    <row r="155" spans="1:7" x14ac:dyDescent="0.2">
      <c r="A155">
        <v>9456</v>
      </c>
      <c r="B155" t="s">
        <v>396</v>
      </c>
      <c r="C155" t="s">
        <v>38</v>
      </c>
      <c r="D155" t="s">
        <v>393</v>
      </c>
      <c r="E155" t="s">
        <v>29</v>
      </c>
      <c r="F155" t="s">
        <v>25</v>
      </c>
      <c r="G155" t="s">
        <v>26</v>
      </c>
    </row>
    <row r="156" spans="1:7" x14ac:dyDescent="0.2">
      <c r="A156">
        <v>9505</v>
      </c>
      <c r="B156" t="s">
        <v>396</v>
      </c>
      <c r="C156" t="s">
        <v>38</v>
      </c>
      <c r="D156" t="s">
        <v>395</v>
      </c>
      <c r="E156" t="s">
        <v>14</v>
      </c>
      <c r="F156" t="s">
        <v>25</v>
      </c>
      <c r="G156" t="s">
        <v>26</v>
      </c>
    </row>
    <row r="157" spans="1:7" x14ac:dyDescent="0.2">
      <c r="A157">
        <v>9506</v>
      </c>
      <c r="B157" t="s">
        <v>396</v>
      </c>
      <c r="C157" t="s">
        <v>55</v>
      </c>
      <c r="D157" t="s">
        <v>395</v>
      </c>
      <c r="E157" t="s">
        <v>14</v>
      </c>
      <c r="F157" t="s">
        <v>89</v>
      </c>
      <c r="G157" t="s">
        <v>31</v>
      </c>
    </row>
    <row r="158" spans="1:7" x14ac:dyDescent="0.2">
      <c r="A158">
        <v>9561</v>
      </c>
      <c r="B158" t="s">
        <v>396</v>
      </c>
      <c r="C158" t="s">
        <v>38</v>
      </c>
      <c r="D158" t="s">
        <v>395</v>
      </c>
      <c r="E158" t="s">
        <v>21</v>
      </c>
      <c r="F158" t="s">
        <v>25</v>
      </c>
      <c r="G158" t="s">
        <v>26</v>
      </c>
    </row>
    <row r="159" spans="1:7" x14ac:dyDescent="0.2">
      <c r="A159">
        <v>9602</v>
      </c>
      <c r="B159" t="s">
        <v>394</v>
      </c>
      <c r="C159" t="s">
        <v>38</v>
      </c>
      <c r="D159" t="s">
        <v>395</v>
      </c>
      <c r="E159" t="s">
        <v>29</v>
      </c>
      <c r="F159" t="s">
        <v>73</v>
      </c>
      <c r="G159" t="s">
        <v>26</v>
      </c>
    </row>
    <row r="160" spans="1:7" x14ac:dyDescent="0.2">
      <c r="A160">
        <v>9695</v>
      </c>
      <c r="B160" t="s">
        <v>396</v>
      </c>
      <c r="C160" t="s">
        <v>38</v>
      </c>
      <c r="D160" t="s">
        <v>393</v>
      </c>
      <c r="E160" t="s">
        <v>29</v>
      </c>
      <c r="F160" t="s">
        <v>25</v>
      </c>
      <c r="G160" t="s">
        <v>26</v>
      </c>
    </row>
    <row r="161" spans="1:7" x14ac:dyDescent="0.2">
      <c r="A161">
        <v>9707</v>
      </c>
      <c r="B161" t="s">
        <v>398</v>
      </c>
      <c r="C161" t="s">
        <v>17</v>
      </c>
      <c r="D161" t="s">
        <v>402</v>
      </c>
      <c r="E161" t="s">
        <v>21</v>
      </c>
      <c r="F161" t="s">
        <v>46</v>
      </c>
      <c r="G161" t="s">
        <v>43</v>
      </c>
    </row>
    <row r="162" spans="1:7" x14ac:dyDescent="0.2">
      <c r="A162">
        <v>9730</v>
      </c>
      <c r="B162" t="s">
        <v>396</v>
      </c>
      <c r="C162" t="s">
        <v>38</v>
      </c>
      <c r="D162" t="s">
        <v>393</v>
      </c>
      <c r="E162" t="s">
        <v>29</v>
      </c>
      <c r="F162" t="s">
        <v>25</v>
      </c>
      <c r="G162" t="s">
        <v>26</v>
      </c>
    </row>
    <row r="163" spans="1:7" x14ac:dyDescent="0.2">
      <c r="A163">
        <v>9745</v>
      </c>
      <c r="B163" t="s">
        <v>396</v>
      </c>
      <c r="C163" t="s">
        <v>65</v>
      </c>
      <c r="D163" t="s">
        <v>395</v>
      </c>
      <c r="E163" t="s">
        <v>14</v>
      </c>
      <c r="F163" t="s">
        <v>25</v>
      </c>
      <c r="G163" t="s">
        <v>26</v>
      </c>
    </row>
    <row r="164" spans="1:7" x14ac:dyDescent="0.2">
      <c r="A164">
        <v>9753</v>
      </c>
      <c r="B164" t="s">
        <v>394</v>
      </c>
      <c r="C164" t="s">
        <v>65</v>
      </c>
      <c r="D164" t="s">
        <v>395</v>
      </c>
      <c r="E164" t="s">
        <v>21</v>
      </c>
      <c r="F164" t="s">
        <v>25</v>
      </c>
      <c r="G164" t="s">
        <v>65</v>
      </c>
    </row>
    <row r="165" spans="1:7" x14ac:dyDescent="0.2">
      <c r="A165">
        <v>9845</v>
      </c>
      <c r="B165" t="s">
        <v>394</v>
      </c>
      <c r="C165" t="s">
        <v>38</v>
      </c>
      <c r="D165" t="s">
        <v>395</v>
      </c>
      <c r="E165" t="s">
        <v>29</v>
      </c>
      <c r="F165" t="s">
        <v>25</v>
      </c>
      <c r="G165" t="s">
        <v>26</v>
      </c>
    </row>
    <row r="166" spans="1:7" x14ac:dyDescent="0.2">
      <c r="A166">
        <v>9847</v>
      </c>
      <c r="B166" t="s">
        <v>396</v>
      </c>
      <c r="C166" t="s">
        <v>55</v>
      </c>
      <c r="D166" t="s">
        <v>395</v>
      </c>
      <c r="E166" t="s">
        <v>29</v>
      </c>
      <c r="F166" t="s">
        <v>25</v>
      </c>
      <c r="G166" t="s">
        <v>26</v>
      </c>
    </row>
    <row r="167" spans="1:7" x14ac:dyDescent="0.2">
      <c r="A167">
        <v>9849</v>
      </c>
      <c r="B167" t="s">
        <v>396</v>
      </c>
      <c r="C167" t="s">
        <v>38</v>
      </c>
      <c r="D167" t="s">
        <v>395</v>
      </c>
      <c r="E167" t="s">
        <v>29</v>
      </c>
      <c r="F167" t="s">
        <v>82</v>
      </c>
      <c r="G167" t="s">
        <v>23</v>
      </c>
    </row>
    <row r="168" spans="1:7" x14ac:dyDescent="0.2">
      <c r="A168">
        <v>9861</v>
      </c>
      <c r="B168" t="s">
        <v>392</v>
      </c>
      <c r="C168" t="s">
        <v>27</v>
      </c>
      <c r="D168" t="s">
        <v>395</v>
      </c>
      <c r="E168" t="s">
        <v>21</v>
      </c>
      <c r="F168" t="s">
        <v>49</v>
      </c>
      <c r="G168" t="s">
        <v>16</v>
      </c>
    </row>
    <row r="169" spans="1:7" x14ac:dyDescent="0.2">
      <c r="A169">
        <v>9980</v>
      </c>
      <c r="B169" t="s">
        <v>396</v>
      </c>
      <c r="C169" t="s">
        <v>38</v>
      </c>
      <c r="D169" t="s">
        <v>393</v>
      </c>
      <c r="E169" t="s">
        <v>45</v>
      </c>
      <c r="F169" t="s">
        <v>25</v>
      </c>
      <c r="G169" t="s">
        <v>26</v>
      </c>
    </row>
    <row r="170" spans="1:7" x14ac:dyDescent="0.2">
      <c r="A170">
        <v>10014</v>
      </c>
      <c r="B170" t="s">
        <v>396</v>
      </c>
      <c r="C170" t="s">
        <v>38</v>
      </c>
      <c r="D170" t="s">
        <v>395</v>
      </c>
      <c r="E170" t="s">
        <v>29</v>
      </c>
      <c r="F170" t="s">
        <v>25</v>
      </c>
      <c r="G170" t="s">
        <v>26</v>
      </c>
    </row>
    <row r="171" spans="1:7" x14ac:dyDescent="0.2">
      <c r="A171">
        <v>10136</v>
      </c>
      <c r="B171" t="s">
        <v>394</v>
      </c>
      <c r="C171" t="s">
        <v>17</v>
      </c>
      <c r="D171" t="s">
        <v>418</v>
      </c>
      <c r="E171" t="s">
        <v>78</v>
      </c>
      <c r="F171" t="s">
        <v>393</v>
      </c>
      <c r="G171" t="s">
        <v>393</v>
      </c>
    </row>
    <row r="172" spans="1:7" x14ac:dyDescent="0.2">
      <c r="A172">
        <v>10151</v>
      </c>
      <c r="B172" t="s">
        <v>396</v>
      </c>
      <c r="C172" t="s">
        <v>38</v>
      </c>
      <c r="D172" t="s">
        <v>395</v>
      </c>
      <c r="E172" t="s">
        <v>14</v>
      </c>
      <c r="F172" t="s">
        <v>91</v>
      </c>
      <c r="G172" t="s">
        <v>26</v>
      </c>
    </row>
    <row r="173" spans="1:7" x14ac:dyDescent="0.2">
      <c r="A173">
        <v>10164</v>
      </c>
      <c r="B173" t="s">
        <v>396</v>
      </c>
      <c r="C173" t="s">
        <v>27</v>
      </c>
      <c r="D173" t="s">
        <v>164</v>
      </c>
      <c r="E173" t="s">
        <v>29</v>
      </c>
      <c r="F173" t="s">
        <v>25</v>
      </c>
      <c r="G173" t="s">
        <v>26</v>
      </c>
    </row>
    <row r="174" spans="1:7" x14ac:dyDescent="0.2">
      <c r="A174">
        <v>10166</v>
      </c>
      <c r="B174" t="s">
        <v>396</v>
      </c>
      <c r="C174" t="s">
        <v>38</v>
      </c>
      <c r="D174" t="s">
        <v>395</v>
      </c>
      <c r="E174" t="s">
        <v>29</v>
      </c>
      <c r="F174" t="s">
        <v>25</v>
      </c>
      <c r="G174" t="s">
        <v>26</v>
      </c>
    </row>
    <row r="175" spans="1:7" x14ac:dyDescent="0.2">
      <c r="A175">
        <v>10174</v>
      </c>
      <c r="B175" t="s">
        <v>396</v>
      </c>
      <c r="C175" t="s">
        <v>55</v>
      </c>
      <c r="D175" t="s">
        <v>395</v>
      </c>
      <c r="E175" t="s">
        <v>29</v>
      </c>
      <c r="F175" t="s">
        <v>25</v>
      </c>
      <c r="G175" t="s">
        <v>23</v>
      </c>
    </row>
    <row r="176" spans="1:7" x14ac:dyDescent="0.2">
      <c r="A176">
        <v>10177</v>
      </c>
      <c r="B176" t="s">
        <v>396</v>
      </c>
      <c r="C176" t="s">
        <v>38</v>
      </c>
      <c r="D176" t="s">
        <v>395</v>
      </c>
      <c r="E176" t="s">
        <v>29</v>
      </c>
      <c r="F176" t="s">
        <v>25</v>
      </c>
      <c r="G176" t="s">
        <v>26</v>
      </c>
    </row>
    <row r="177" spans="1:7" x14ac:dyDescent="0.2">
      <c r="A177">
        <v>10179</v>
      </c>
      <c r="B177" t="s">
        <v>396</v>
      </c>
      <c r="C177" t="s">
        <v>55</v>
      </c>
      <c r="D177" t="s">
        <v>395</v>
      </c>
      <c r="E177" t="s">
        <v>29</v>
      </c>
      <c r="F177" t="s">
        <v>25</v>
      </c>
      <c r="G177" t="s">
        <v>26</v>
      </c>
    </row>
    <row r="178" spans="1:7" x14ac:dyDescent="0.2">
      <c r="A178">
        <v>10180</v>
      </c>
      <c r="B178" t="s">
        <v>396</v>
      </c>
      <c r="C178" t="s">
        <v>38</v>
      </c>
      <c r="D178" t="s">
        <v>393</v>
      </c>
      <c r="E178" t="s">
        <v>29</v>
      </c>
      <c r="F178" t="s">
        <v>82</v>
      </c>
      <c r="G178" t="s">
        <v>23</v>
      </c>
    </row>
    <row r="179" spans="1:7" x14ac:dyDescent="0.2">
      <c r="A179">
        <v>10181</v>
      </c>
      <c r="B179" t="s">
        <v>396</v>
      </c>
      <c r="C179" t="s">
        <v>38</v>
      </c>
      <c r="D179" t="s">
        <v>395</v>
      </c>
      <c r="E179" t="s">
        <v>29</v>
      </c>
      <c r="F179" t="s">
        <v>25</v>
      </c>
      <c r="G179" t="s">
        <v>26</v>
      </c>
    </row>
    <row r="180" spans="1:7" x14ac:dyDescent="0.2">
      <c r="A180">
        <v>10238</v>
      </c>
      <c r="B180" t="s">
        <v>398</v>
      </c>
      <c r="C180" t="s">
        <v>17</v>
      </c>
      <c r="D180" t="s">
        <v>402</v>
      </c>
      <c r="E180" t="s">
        <v>14</v>
      </c>
      <c r="F180" t="s">
        <v>46</v>
      </c>
      <c r="G180" t="s">
        <v>43</v>
      </c>
    </row>
    <row r="181" spans="1:7" x14ac:dyDescent="0.2">
      <c r="A181">
        <v>10239</v>
      </c>
      <c r="B181" t="s">
        <v>398</v>
      </c>
      <c r="C181" t="s">
        <v>17</v>
      </c>
      <c r="D181" t="s">
        <v>402</v>
      </c>
      <c r="E181" t="s">
        <v>29</v>
      </c>
      <c r="F181" t="s">
        <v>67</v>
      </c>
      <c r="G181" t="s">
        <v>43</v>
      </c>
    </row>
    <row r="182" spans="1:7" x14ac:dyDescent="0.2">
      <c r="A182" s="2">
        <v>5178</v>
      </c>
      <c r="B182" s="5" t="s">
        <v>396</v>
      </c>
      <c r="C182" s="5" t="s">
        <v>32</v>
      </c>
      <c r="D182" s="6" t="s">
        <v>402</v>
      </c>
      <c r="E182" s="6" t="s">
        <v>21</v>
      </c>
      <c r="F182" s="6" t="s">
        <v>61</v>
      </c>
      <c r="G182" s="6" t="s">
        <v>409</v>
      </c>
    </row>
    <row r="183" spans="1:7" x14ac:dyDescent="0.2">
      <c r="A183" s="2">
        <v>5185</v>
      </c>
      <c r="B183" s="5" t="s">
        <v>396</v>
      </c>
      <c r="C183" s="5" t="s">
        <v>24</v>
      </c>
      <c r="D183" s="6" t="s">
        <v>402</v>
      </c>
      <c r="E183" s="6" t="s">
        <v>29</v>
      </c>
      <c r="F183" s="6" t="s">
        <v>61</v>
      </c>
      <c r="G183" s="6" t="s">
        <v>409</v>
      </c>
    </row>
    <row r="184" spans="1:7" x14ac:dyDescent="0.2">
      <c r="A184" s="2">
        <v>5264</v>
      </c>
      <c r="B184" s="5" t="s">
        <v>394</v>
      </c>
      <c r="C184" s="5" t="s">
        <v>32</v>
      </c>
      <c r="D184" s="6" t="s">
        <v>395</v>
      </c>
      <c r="E184" s="6" t="s">
        <v>21</v>
      </c>
      <c r="F184" s="6" t="s">
        <v>30</v>
      </c>
      <c r="G184" s="6" t="s">
        <v>409</v>
      </c>
    </row>
    <row r="185" spans="1:7" x14ac:dyDescent="0.2">
      <c r="A185" s="2">
        <v>5265</v>
      </c>
      <c r="B185" s="5" t="s">
        <v>394</v>
      </c>
      <c r="C185" s="6" t="s">
        <v>38</v>
      </c>
      <c r="D185" s="6" t="s">
        <v>395</v>
      </c>
      <c r="E185" s="6" t="s">
        <v>21</v>
      </c>
      <c r="F185" s="6" t="s">
        <v>30</v>
      </c>
      <c r="G185" s="6" t="s">
        <v>409</v>
      </c>
    </row>
    <row r="186" spans="1:7" x14ac:dyDescent="0.2">
      <c r="A186" s="2">
        <v>5300</v>
      </c>
      <c r="B186" s="5" t="s">
        <v>396</v>
      </c>
      <c r="C186" s="6" t="s">
        <v>38</v>
      </c>
      <c r="D186" s="6" t="s">
        <v>402</v>
      </c>
      <c r="E186" s="6" t="s">
        <v>29</v>
      </c>
      <c r="F186" s="6" t="s">
        <v>61</v>
      </c>
      <c r="G186" s="6" t="s">
        <v>409</v>
      </c>
    </row>
    <row r="187" spans="1:7" x14ac:dyDescent="0.2">
      <c r="A187" s="2">
        <v>5312</v>
      </c>
      <c r="B187" s="5" t="s">
        <v>396</v>
      </c>
      <c r="C187" s="6" t="s">
        <v>38</v>
      </c>
      <c r="D187" s="6" t="s">
        <v>402</v>
      </c>
      <c r="E187" s="6" t="s">
        <v>29</v>
      </c>
      <c r="F187" s="6" t="s">
        <v>61</v>
      </c>
      <c r="G187" s="6" t="s">
        <v>409</v>
      </c>
    </row>
    <row r="188" spans="1:7" x14ac:dyDescent="0.2">
      <c r="A188" s="2">
        <v>5331</v>
      </c>
      <c r="B188" s="5" t="s">
        <v>396</v>
      </c>
      <c r="C188" s="5" t="s">
        <v>88</v>
      </c>
      <c r="D188" s="6" t="s">
        <v>402</v>
      </c>
      <c r="E188" s="6" t="s">
        <v>29</v>
      </c>
      <c r="F188" s="6" t="s">
        <v>61</v>
      </c>
      <c r="G188" s="6" t="s">
        <v>409</v>
      </c>
    </row>
    <row r="189" spans="1:7" x14ac:dyDescent="0.2">
      <c r="A189" s="2">
        <v>5338</v>
      </c>
      <c r="B189" s="5" t="s">
        <v>398</v>
      </c>
      <c r="C189" s="5" t="s">
        <v>164</v>
      </c>
      <c r="D189" s="6" t="s">
        <v>164</v>
      </c>
      <c r="E189" s="6" t="s">
        <v>419</v>
      </c>
      <c r="F189" s="6" t="s">
        <v>144</v>
      </c>
      <c r="G189" s="6" t="s">
        <v>420</v>
      </c>
    </row>
    <row r="190" spans="1:7" x14ac:dyDescent="0.2">
      <c r="A190" s="2">
        <v>5344</v>
      </c>
      <c r="B190" s="5" t="s">
        <v>396</v>
      </c>
      <c r="C190" s="5" t="s">
        <v>24</v>
      </c>
      <c r="D190" s="6" t="s">
        <v>402</v>
      </c>
      <c r="E190" s="6" t="s">
        <v>29</v>
      </c>
      <c r="F190" s="6" t="s">
        <v>61</v>
      </c>
      <c r="G190" s="6" t="s">
        <v>409</v>
      </c>
    </row>
    <row r="191" spans="1:7" x14ac:dyDescent="0.2">
      <c r="A191" s="2">
        <v>5371</v>
      </c>
      <c r="B191" s="5" t="s">
        <v>396</v>
      </c>
      <c r="C191" s="5" t="s">
        <v>24</v>
      </c>
      <c r="D191" s="6" t="s">
        <v>402</v>
      </c>
      <c r="E191" s="6" t="s">
        <v>29</v>
      </c>
      <c r="F191" s="6" t="s">
        <v>61</v>
      </c>
      <c r="G191" s="6" t="s">
        <v>409</v>
      </c>
    </row>
    <row r="192" spans="1:7" x14ac:dyDescent="0.2">
      <c r="A192" s="2">
        <v>5518</v>
      </c>
      <c r="B192" s="5" t="s">
        <v>396</v>
      </c>
      <c r="C192" s="5" t="s">
        <v>32</v>
      </c>
      <c r="D192" s="6" t="s">
        <v>402</v>
      </c>
      <c r="E192" s="6" t="s">
        <v>29</v>
      </c>
      <c r="F192" s="6" t="s">
        <v>61</v>
      </c>
      <c r="G192" s="6" t="s">
        <v>409</v>
      </c>
    </row>
    <row r="193" spans="1:7" x14ac:dyDescent="0.2">
      <c r="A193" s="2">
        <v>5661</v>
      </c>
      <c r="B193" s="5" t="s">
        <v>396</v>
      </c>
      <c r="C193" s="6" t="s">
        <v>164</v>
      </c>
      <c r="D193" s="6" t="s">
        <v>65</v>
      </c>
      <c r="E193" s="6" t="s">
        <v>56</v>
      </c>
      <c r="F193" s="6" t="s">
        <v>49</v>
      </c>
      <c r="G193" s="6" t="s">
        <v>417</v>
      </c>
    </row>
    <row r="194" spans="1:7" x14ac:dyDescent="0.2">
      <c r="A194" s="2">
        <v>5699</v>
      </c>
      <c r="B194" s="5" t="s">
        <v>396</v>
      </c>
      <c r="C194" s="5" t="s">
        <v>24</v>
      </c>
      <c r="D194" s="6" t="s">
        <v>164</v>
      </c>
      <c r="E194" s="6" t="s">
        <v>14</v>
      </c>
      <c r="F194" s="6" t="s">
        <v>58</v>
      </c>
      <c r="G194" s="6" t="s">
        <v>417</v>
      </c>
    </row>
    <row r="195" spans="1:7" x14ac:dyDescent="0.2">
      <c r="A195" s="2">
        <v>5733</v>
      </c>
      <c r="B195" s="5" t="s">
        <v>398</v>
      </c>
      <c r="C195" s="5" t="s">
        <v>164</v>
      </c>
      <c r="D195" s="6" t="s">
        <v>402</v>
      </c>
      <c r="E195" s="6" t="s">
        <v>21</v>
      </c>
      <c r="F195" s="6" t="s">
        <v>67</v>
      </c>
      <c r="G195" s="6" t="s">
        <v>420</v>
      </c>
    </row>
    <row r="196" spans="1:7" x14ac:dyDescent="0.2">
      <c r="A196" s="2">
        <v>5771</v>
      </c>
      <c r="B196" s="5" t="s">
        <v>398</v>
      </c>
      <c r="C196" s="5" t="s">
        <v>24</v>
      </c>
      <c r="D196" s="6" t="s">
        <v>164</v>
      </c>
      <c r="E196" s="6" t="s">
        <v>21</v>
      </c>
      <c r="F196" s="6" t="s">
        <v>84</v>
      </c>
      <c r="G196" s="6" t="s">
        <v>405</v>
      </c>
    </row>
    <row r="197" spans="1:7" x14ac:dyDescent="0.2">
      <c r="A197" s="2">
        <v>5796</v>
      </c>
      <c r="B197" s="5" t="s">
        <v>396</v>
      </c>
      <c r="C197" s="6" t="s">
        <v>38</v>
      </c>
      <c r="D197" s="6" t="s">
        <v>402</v>
      </c>
      <c r="E197" s="6" t="s">
        <v>29</v>
      </c>
      <c r="F197" s="6" t="s">
        <v>61</v>
      </c>
      <c r="G197" s="6" t="s">
        <v>409</v>
      </c>
    </row>
    <row r="198" spans="1:7" x14ac:dyDescent="0.2">
      <c r="A198" s="2">
        <v>5807</v>
      </c>
      <c r="B198" s="5" t="s">
        <v>394</v>
      </c>
      <c r="C198" s="5" t="s">
        <v>24</v>
      </c>
      <c r="D198" s="6" t="s">
        <v>395</v>
      </c>
      <c r="E198" s="6" t="s">
        <v>29</v>
      </c>
      <c r="F198" s="6" t="s">
        <v>30</v>
      </c>
      <c r="G198" s="6" t="s">
        <v>409</v>
      </c>
    </row>
    <row r="199" spans="1:7" x14ac:dyDescent="0.2">
      <c r="A199" s="2">
        <v>5810</v>
      </c>
      <c r="B199" s="5" t="s">
        <v>394</v>
      </c>
      <c r="C199" s="5" t="s">
        <v>24</v>
      </c>
      <c r="D199" s="6" t="s">
        <v>395</v>
      </c>
      <c r="E199" s="6" t="s">
        <v>14</v>
      </c>
      <c r="F199" s="6" t="s">
        <v>421</v>
      </c>
      <c r="G199" s="6" t="s">
        <v>405</v>
      </c>
    </row>
    <row r="200" spans="1:7" x14ac:dyDescent="0.2">
      <c r="A200" s="2">
        <v>5844</v>
      </c>
      <c r="B200" s="5" t="s">
        <v>392</v>
      </c>
      <c r="C200" s="6" t="s">
        <v>17</v>
      </c>
      <c r="D200" s="6" t="s">
        <v>164</v>
      </c>
      <c r="E200" s="6" t="s">
        <v>21</v>
      </c>
      <c r="F200" s="6" t="s">
        <v>30</v>
      </c>
      <c r="G200" s="6" t="s">
        <v>409</v>
      </c>
    </row>
    <row r="201" spans="1:7" x14ac:dyDescent="0.2">
      <c r="A201" s="2">
        <v>5891</v>
      </c>
      <c r="B201" s="5" t="s">
        <v>392</v>
      </c>
      <c r="C201" s="6" t="s">
        <v>38</v>
      </c>
      <c r="D201" s="6" t="s">
        <v>402</v>
      </c>
      <c r="E201" s="6" t="s">
        <v>29</v>
      </c>
      <c r="F201" s="6" t="s">
        <v>61</v>
      </c>
      <c r="G201" s="6" t="s">
        <v>409</v>
      </c>
    </row>
    <row r="202" spans="1:7" x14ac:dyDescent="0.2">
      <c r="A202" s="2">
        <v>5893</v>
      </c>
      <c r="B202" s="5" t="s">
        <v>398</v>
      </c>
      <c r="C202" s="5" t="s">
        <v>24</v>
      </c>
      <c r="D202" s="6" t="s">
        <v>402</v>
      </c>
      <c r="E202" s="6" t="s">
        <v>14</v>
      </c>
      <c r="F202" s="6" t="s">
        <v>46</v>
      </c>
      <c r="G202" s="6" t="s">
        <v>422</v>
      </c>
    </row>
    <row r="203" spans="1:7" x14ac:dyDescent="0.2">
      <c r="A203" s="2">
        <v>5978</v>
      </c>
      <c r="B203" s="5" t="s">
        <v>394</v>
      </c>
      <c r="C203" s="5" t="s">
        <v>32</v>
      </c>
      <c r="D203" s="6" t="s">
        <v>395</v>
      </c>
      <c r="E203" s="6" t="s">
        <v>56</v>
      </c>
      <c r="F203" s="6" t="s">
        <v>57</v>
      </c>
      <c r="G203" s="6" t="s">
        <v>409</v>
      </c>
    </row>
    <row r="204" spans="1:7" x14ac:dyDescent="0.2">
      <c r="A204" s="2">
        <v>6002</v>
      </c>
      <c r="B204" s="5" t="s">
        <v>396</v>
      </c>
      <c r="C204" s="6" t="s">
        <v>38</v>
      </c>
      <c r="D204" s="6" t="s">
        <v>402</v>
      </c>
      <c r="E204" s="6" t="s">
        <v>29</v>
      </c>
      <c r="F204" s="6" t="s">
        <v>61</v>
      </c>
      <c r="G204" s="6" t="s">
        <v>409</v>
      </c>
    </row>
    <row r="205" spans="1:7" x14ac:dyDescent="0.2">
      <c r="A205" s="2">
        <v>6007</v>
      </c>
      <c r="B205" s="5" t="s">
        <v>392</v>
      </c>
      <c r="C205" s="5" t="s">
        <v>88</v>
      </c>
      <c r="D205" s="6" t="s">
        <v>402</v>
      </c>
      <c r="E205" s="6" t="s">
        <v>29</v>
      </c>
      <c r="F205" s="6" t="s">
        <v>61</v>
      </c>
      <c r="G205" s="6" t="s">
        <v>409</v>
      </c>
    </row>
    <row r="206" spans="1:7" x14ac:dyDescent="0.2">
      <c r="A206" s="2">
        <v>6026</v>
      </c>
      <c r="B206" s="5" t="s">
        <v>392</v>
      </c>
      <c r="C206" s="5" t="s">
        <v>88</v>
      </c>
      <c r="D206" s="6" t="s">
        <v>402</v>
      </c>
      <c r="E206" s="6" t="s">
        <v>29</v>
      </c>
      <c r="F206" s="6" t="s">
        <v>61</v>
      </c>
      <c r="G206" s="6" t="s">
        <v>409</v>
      </c>
    </row>
    <row r="207" spans="1:7" x14ac:dyDescent="0.2">
      <c r="A207" s="2">
        <v>6121</v>
      </c>
      <c r="B207" s="5" t="s">
        <v>392</v>
      </c>
      <c r="C207" s="6" t="s">
        <v>38</v>
      </c>
      <c r="D207" s="6" t="s">
        <v>402</v>
      </c>
      <c r="E207" s="6" t="s">
        <v>56</v>
      </c>
      <c r="F207" s="6" t="s">
        <v>22</v>
      </c>
      <c r="G207" s="6" t="s">
        <v>405</v>
      </c>
    </row>
    <row r="208" spans="1:7" x14ac:dyDescent="0.2">
      <c r="A208" s="2">
        <v>6126</v>
      </c>
      <c r="B208" s="5" t="s">
        <v>392</v>
      </c>
      <c r="C208" s="5" t="s">
        <v>24</v>
      </c>
      <c r="D208" s="6" t="s">
        <v>402</v>
      </c>
      <c r="E208" s="6" t="s">
        <v>29</v>
      </c>
      <c r="F208" s="6" t="s">
        <v>61</v>
      </c>
      <c r="G208" s="6" t="s">
        <v>409</v>
      </c>
    </row>
    <row r="209" spans="1:7" x14ac:dyDescent="0.2">
      <c r="A209" s="2">
        <v>6131</v>
      </c>
      <c r="B209" s="5" t="s">
        <v>392</v>
      </c>
      <c r="C209" s="5" t="s">
        <v>24</v>
      </c>
      <c r="D209" s="6" t="s">
        <v>395</v>
      </c>
      <c r="E209" s="6" t="s">
        <v>29</v>
      </c>
      <c r="F209" s="6" t="s">
        <v>73</v>
      </c>
      <c r="G209" s="6" t="s">
        <v>414</v>
      </c>
    </row>
    <row r="210" spans="1:7" x14ac:dyDescent="0.2">
      <c r="A210" s="2">
        <v>6168</v>
      </c>
      <c r="B210" s="5" t="s">
        <v>392</v>
      </c>
      <c r="C210" s="5" t="s">
        <v>24</v>
      </c>
      <c r="D210" s="6" t="s">
        <v>164</v>
      </c>
      <c r="E210" s="6" t="s">
        <v>419</v>
      </c>
      <c r="F210" s="6" t="s">
        <v>84</v>
      </c>
      <c r="G210" s="6" t="s">
        <v>405</v>
      </c>
    </row>
    <row r="211" spans="1:7" x14ac:dyDescent="0.2">
      <c r="A211" s="2">
        <v>6279</v>
      </c>
      <c r="B211" s="5" t="s">
        <v>396</v>
      </c>
      <c r="C211" s="5" t="s">
        <v>164</v>
      </c>
      <c r="D211" s="6" t="s">
        <v>65</v>
      </c>
      <c r="E211" s="6" t="s">
        <v>419</v>
      </c>
      <c r="F211" s="6" t="s">
        <v>421</v>
      </c>
      <c r="G211" s="6" t="s">
        <v>405</v>
      </c>
    </row>
    <row r="212" spans="1:7" x14ac:dyDescent="0.2">
      <c r="A212" s="2">
        <v>6297</v>
      </c>
      <c r="B212" s="5" t="s">
        <v>396</v>
      </c>
      <c r="C212" s="5" t="s">
        <v>164</v>
      </c>
      <c r="D212" s="6" t="s">
        <v>65</v>
      </c>
      <c r="E212" s="6" t="s">
        <v>21</v>
      </c>
      <c r="F212" s="6" t="s">
        <v>84</v>
      </c>
      <c r="G212" s="6" t="s">
        <v>405</v>
      </c>
    </row>
    <row r="213" spans="1:7" x14ac:dyDescent="0.2">
      <c r="A213" s="2">
        <v>6382</v>
      </c>
      <c r="B213" s="5" t="s">
        <v>396</v>
      </c>
      <c r="C213" s="5" t="s">
        <v>32</v>
      </c>
      <c r="D213" s="6" t="s">
        <v>402</v>
      </c>
      <c r="E213" s="6" t="s">
        <v>29</v>
      </c>
      <c r="F213" s="6" t="s">
        <v>46</v>
      </c>
      <c r="G213" s="6" t="s">
        <v>422</v>
      </c>
    </row>
    <row r="214" spans="1:7" x14ac:dyDescent="0.2">
      <c r="A214" s="2">
        <v>6408</v>
      </c>
      <c r="B214" s="5" t="s">
        <v>396</v>
      </c>
      <c r="C214" s="6" t="s">
        <v>38</v>
      </c>
      <c r="D214" s="6" t="s">
        <v>402</v>
      </c>
      <c r="E214" s="6" t="s">
        <v>29</v>
      </c>
      <c r="F214" s="6" t="s">
        <v>121</v>
      </c>
      <c r="G214" s="6" t="s">
        <v>420</v>
      </c>
    </row>
    <row r="215" spans="1:7" x14ac:dyDescent="0.2">
      <c r="A215" s="2">
        <v>6413</v>
      </c>
      <c r="B215" s="5" t="s">
        <v>392</v>
      </c>
      <c r="C215" s="5" t="s">
        <v>65</v>
      </c>
      <c r="D215" s="6" t="s">
        <v>402</v>
      </c>
      <c r="E215" s="6" t="s">
        <v>21</v>
      </c>
      <c r="F215" s="6" t="s">
        <v>42</v>
      </c>
      <c r="G215" s="6" t="s">
        <v>420</v>
      </c>
    </row>
    <row r="216" spans="1:7" x14ac:dyDescent="0.2">
      <c r="A216" s="2">
        <v>6468</v>
      </c>
      <c r="B216" s="5" t="s">
        <v>392</v>
      </c>
      <c r="C216" s="5" t="s">
        <v>88</v>
      </c>
      <c r="D216" s="6" t="s">
        <v>402</v>
      </c>
      <c r="E216" s="6" t="s">
        <v>29</v>
      </c>
      <c r="F216" s="6" t="s">
        <v>61</v>
      </c>
      <c r="G216" s="6" t="s">
        <v>409</v>
      </c>
    </row>
    <row r="217" spans="1:7" x14ac:dyDescent="0.2">
      <c r="A217" s="2">
        <v>6522</v>
      </c>
      <c r="B217" s="5" t="s">
        <v>392</v>
      </c>
      <c r="C217" s="5" t="s">
        <v>88</v>
      </c>
      <c r="D217" s="6" t="s">
        <v>402</v>
      </c>
      <c r="E217" s="6" t="s">
        <v>29</v>
      </c>
      <c r="F217" s="6" t="s">
        <v>61</v>
      </c>
      <c r="G217" s="6" t="s">
        <v>409</v>
      </c>
    </row>
    <row r="218" spans="1:7" x14ac:dyDescent="0.2">
      <c r="A218" s="2">
        <v>6550</v>
      </c>
      <c r="B218" s="5" t="s">
        <v>396</v>
      </c>
      <c r="C218" s="5" t="s">
        <v>88</v>
      </c>
      <c r="D218" s="6" t="s">
        <v>402</v>
      </c>
      <c r="E218" s="6" t="s">
        <v>29</v>
      </c>
      <c r="F218" s="6" t="s">
        <v>61</v>
      </c>
      <c r="G218" s="6" t="s">
        <v>409</v>
      </c>
    </row>
    <row r="219" spans="1:7" x14ac:dyDescent="0.2">
      <c r="A219" s="2">
        <v>6552</v>
      </c>
      <c r="B219" s="5" t="s">
        <v>392</v>
      </c>
      <c r="C219" s="5" t="s">
        <v>164</v>
      </c>
      <c r="D219" s="6" t="s">
        <v>402</v>
      </c>
      <c r="E219" s="6" t="s">
        <v>419</v>
      </c>
      <c r="F219" s="6"/>
      <c r="G219" s="6"/>
    </row>
    <row r="220" spans="1:7" ht="16" x14ac:dyDescent="0.2">
      <c r="A220" s="34">
        <v>6563</v>
      </c>
      <c r="B220" s="6" t="s">
        <v>398</v>
      </c>
      <c r="C220" s="6" t="s">
        <v>24</v>
      </c>
      <c r="D220" s="6" t="s">
        <v>402</v>
      </c>
      <c r="E220" s="6" t="s">
        <v>56</v>
      </c>
      <c r="F220" s="6" t="s">
        <v>457</v>
      </c>
      <c r="G220" s="35"/>
    </row>
    <row r="221" spans="1:7" x14ac:dyDescent="0.2">
      <c r="A221" s="34">
        <v>6588</v>
      </c>
      <c r="B221" s="6" t="s">
        <v>392</v>
      </c>
      <c r="C221" s="6" t="s">
        <v>88</v>
      </c>
      <c r="D221" s="6" t="s">
        <v>402</v>
      </c>
      <c r="E221" s="6" t="s">
        <v>29</v>
      </c>
      <c r="F221" s="6" t="s">
        <v>61</v>
      </c>
      <c r="G221" s="6" t="s">
        <v>409</v>
      </c>
    </row>
    <row r="222" spans="1:7" ht="16" x14ac:dyDescent="0.2">
      <c r="A222" s="34">
        <v>6601</v>
      </c>
      <c r="B222" s="6" t="s">
        <v>392</v>
      </c>
      <c r="C222" s="6" t="s">
        <v>164</v>
      </c>
      <c r="D222" s="6" t="s">
        <v>397</v>
      </c>
      <c r="E222" s="6" t="s">
        <v>419</v>
      </c>
      <c r="F222" s="6" t="s">
        <v>457</v>
      </c>
      <c r="G222" s="35"/>
    </row>
    <row r="223" spans="1:7" ht="16" x14ac:dyDescent="0.2">
      <c r="A223" s="34">
        <v>6619</v>
      </c>
      <c r="B223" s="6" t="s">
        <v>398</v>
      </c>
      <c r="C223" s="6" t="s">
        <v>24</v>
      </c>
      <c r="D223" s="6" t="s">
        <v>402</v>
      </c>
      <c r="E223" s="6" t="s">
        <v>458</v>
      </c>
      <c r="F223" s="6" t="s">
        <v>457</v>
      </c>
      <c r="G223" s="35"/>
    </row>
    <row r="224" spans="1:7" ht="16" x14ac:dyDescent="0.2">
      <c r="A224" s="34">
        <v>6629</v>
      </c>
      <c r="B224" s="6" t="s">
        <v>398</v>
      </c>
      <c r="C224" s="6" t="s">
        <v>24</v>
      </c>
      <c r="D224" s="6" t="s">
        <v>397</v>
      </c>
      <c r="E224" s="6" t="s">
        <v>419</v>
      </c>
      <c r="F224" s="6" t="s">
        <v>457</v>
      </c>
      <c r="G224" s="35"/>
    </row>
    <row r="225" spans="1:7" x14ac:dyDescent="0.2">
      <c r="A225" s="34">
        <v>6737</v>
      </c>
      <c r="B225" s="6" t="s">
        <v>396</v>
      </c>
      <c r="C225" s="6" t="s">
        <v>24</v>
      </c>
      <c r="D225" s="6" t="s">
        <v>402</v>
      </c>
      <c r="E225" s="6" t="s">
        <v>29</v>
      </c>
      <c r="F225" s="6" t="s">
        <v>61</v>
      </c>
      <c r="G225" s="6" t="s">
        <v>409</v>
      </c>
    </row>
    <row r="226" spans="1:7" x14ac:dyDescent="0.2">
      <c r="A226" s="34">
        <v>6929</v>
      </c>
      <c r="B226" s="6" t="s">
        <v>396</v>
      </c>
      <c r="C226" s="6" t="s">
        <v>395</v>
      </c>
      <c r="D226" s="6" t="s">
        <v>402</v>
      </c>
      <c r="E226" s="6" t="s">
        <v>21</v>
      </c>
      <c r="F226" s="6" t="s">
        <v>133</v>
      </c>
      <c r="G226" s="6" t="s">
        <v>405</v>
      </c>
    </row>
    <row r="227" spans="1:7" x14ac:dyDescent="0.2">
      <c r="A227" s="34">
        <v>6988</v>
      </c>
      <c r="B227" s="6" t="s">
        <v>398</v>
      </c>
      <c r="C227" s="6" t="s">
        <v>38</v>
      </c>
      <c r="D227" s="6" t="s">
        <v>395</v>
      </c>
      <c r="E227" s="6" t="s">
        <v>419</v>
      </c>
      <c r="F227" s="6" t="s">
        <v>67</v>
      </c>
      <c r="G227" s="6" t="s">
        <v>420</v>
      </c>
    </row>
    <row r="228" spans="1:7" x14ac:dyDescent="0.2">
      <c r="A228" s="34">
        <v>7256</v>
      </c>
      <c r="B228" s="6" t="s">
        <v>398</v>
      </c>
      <c r="C228" s="6" t="s">
        <v>38</v>
      </c>
      <c r="D228" s="6" t="s">
        <v>395</v>
      </c>
      <c r="E228" s="6" t="s">
        <v>419</v>
      </c>
      <c r="F228" s="6" t="s">
        <v>67</v>
      </c>
      <c r="G228" s="6" t="s">
        <v>420</v>
      </c>
    </row>
    <row r="229" spans="1:7" x14ac:dyDescent="0.2">
      <c r="A229" s="34">
        <v>7264</v>
      </c>
      <c r="B229" s="6" t="s">
        <v>396</v>
      </c>
      <c r="C229" s="6" t="s">
        <v>459</v>
      </c>
      <c r="D229" s="6" t="s">
        <v>402</v>
      </c>
      <c r="E229" s="6" t="s">
        <v>29</v>
      </c>
      <c r="F229" s="6" t="s">
        <v>46</v>
      </c>
      <c r="G229" s="6" t="s">
        <v>420</v>
      </c>
    </row>
    <row r="230" spans="1:7" x14ac:dyDescent="0.2">
      <c r="A230" s="34">
        <v>7289</v>
      </c>
      <c r="B230" s="6" t="s">
        <v>396</v>
      </c>
      <c r="C230" s="6" t="s">
        <v>38</v>
      </c>
      <c r="D230" s="6" t="s">
        <v>395</v>
      </c>
      <c r="E230" s="6" t="s">
        <v>21</v>
      </c>
      <c r="F230" s="6" t="s">
        <v>67</v>
      </c>
      <c r="G230" s="6" t="s">
        <v>420</v>
      </c>
    </row>
    <row r="231" spans="1:7" x14ac:dyDescent="0.2">
      <c r="A231" s="2">
        <v>7316</v>
      </c>
      <c r="B231" s="5" t="s">
        <v>396</v>
      </c>
      <c r="C231" s="5" t="s">
        <v>24</v>
      </c>
      <c r="D231" s="6" t="s">
        <v>402</v>
      </c>
      <c r="E231" s="6" t="s">
        <v>29</v>
      </c>
      <c r="F231" s="6" t="s">
        <v>61</v>
      </c>
      <c r="G231" s="6" t="s">
        <v>409</v>
      </c>
    </row>
    <row r="232" spans="1:7" ht="16" x14ac:dyDescent="0.2">
      <c r="A232" s="32">
        <v>6955</v>
      </c>
      <c r="B232" s="5" t="s">
        <v>396</v>
      </c>
      <c r="C232" s="5" t="s">
        <v>24</v>
      </c>
      <c r="D232" s="6" t="s">
        <v>402</v>
      </c>
      <c r="E232" s="33" t="s">
        <v>419</v>
      </c>
      <c r="F232" s="6" t="s">
        <v>61</v>
      </c>
      <c r="G232" s="6" t="s">
        <v>409</v>
      </c>
    </row>
    <row r="233" spans="1:7" ht="16" x14ac:dyDescent="0.2">
      <c r="A233" s="32">
        <v>4746</v>
      </c>
      <c r="B233" s="5" t="s">
        <v>398</v>
      </c>
      <c r="C233" s="33" t="s">
        <v>17</v>
      </c>
      <c r="D233" s="6" t="s">
        <v>402</v>
      </c>
      <c r="E233" s="33" t="s">
        <v>419</v>
      </c>
      <c r="F233" s="6" t="s">
        <v>46</v>
      </c>
      <c r="G233" s="6" t="s">
        <v>420</v>
      </c>
    </row>
    <row r="234" spans="1:7" ht="16" x14ac:dyDescent="0.2">
      <c r="A234" s="32">
        <v>1485</v>
      </c>
      <c r="B234" s="33" t="s">
        <v>396</v>
      </c>
      <c r="C234" s="6" t="s">
        <v>38</v>
      </c>
      <c r="D234" s="6" t="s">
        <v>402</v>
      </c>
      <c r="E234" s="33" t="s">
        <v>419</v>
      </c>
      <c r="F234" s="6"/>
      <c r="G234" s="6" t="s">
        <v>405</v>
      </c>
    </row>
    <row r="235" spans="1:7" ht="16" x14ac:dyDescent="0.2">
      <c r="A235" s="32">
        <v>9768</v>
      </c>
      <c r="B235" s="33" t="s">
        <v>396</v>
      </c>
      <c r="C235" s="6" t="s">
        <v>38</v>
      </c>
      <c r="D235" s="6" t="s">
        <v>395</v>
      </c>
      <c r="E235" s="6" t="s">
        <v>29</v>
      </c>
      <c r="F235" s="33" t="s">
        <v>25</v>
      </c>
      <c r="G235" s="33" t="s">
        <v>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4DC7-C736-F446-ABD6-E2F476074E00}">
  <dimension ref="A1:D23"/>
  <sheetViews>
    <sheetView workbookViewId="0">
      <selection activeCell="B23" sqref="B23"/>
    </sheetView>
  </sheetViews>
  <sheetFormatPr baseColWidth="10" defaultRowHeight="15" x14ac:dyDescent="0.2"/>
  <cols>
    <col min="1" max="1" width="33.33203125" customWidth="1"/>
    <col min="2" max="2" width="18.33203125" customWidth="1"/>
    <col min="3" max="3" width="46.6640625" customWidth="1"/>
    <col min="4" max="4" width="15" customWidth="1"/>
  </cols>
  <sheetData>
    <row r="1" spans="1:4" ht="16" x14ac:dyDescent="0.2">
      <c r="A1" s="7" t="s">
        <v>11</v>
      </c>
    </row>
    <row r="2" spans="1:4" x14ac:dyDescent="0.2">
      <c r="A2" s="8" t="s">
        <v>423</v>
      </c>
      <c r="B2" s="18" t="s">
        <v>424</v>
      </c>
      <c r="C2" s="18" t="s">
        <v>425</v>
      </c>
      <c r="D2" s="18" t="s">
        <v>426</v>
      </c>
    </row>
    <row r="3" spans="1:4" x14ac:dyDescent="0.2">
      <c r="A3" s="9" t="s">
        <v>398</v>
      </c>
      <c r="B3" s="12" cm="1">
        <f t="array" ref="B3">SUMPRODUCT(('Hand Coded'!B$1:B$10000="Support")*(IFERROR(INDEX('gemini-3.1-pro-preview'!$F:$F,MATCH('Hand Coded'!A$1:A$10000,'gemini-3.1-pro-preview'!$A:$A,0)),"")="support"))</f>
        <v>34</v>
      </c>
      <c r="C3" s="12">
        <f>COUNTIF('Hand Coded'!B:B,"Support")</f>
        <v>47</v>
      </c>
      <c r="D3" s="13">
        <f>IF(C3=0,0,B3/C3)</f>
        <v>0.72340425531914898</v>
      </c>
    </row>
    <row r="4" spans="1:4" x14ac:dyDescent="0.2">
      <c r="A4" s="9" t="s">
        <v>394</v>
      </c>
      <c r="B4" s="12" cm="1">
        <f t="array" ref="B4">SUMPRODUCT(('Hand Coded'!B$1:B$10000="Support with Changes")*(IFERROR(INDEX('gemini-3.1-pro-preview'!$F:$F,MATCH('Hand Coded'!A$1:A$10000,'gemini-3.1-pro-preview'!$A:$A,0)),"")="Support with Changes"))</f>
        <v>33</v>
      </c>
      <c r="C4" s="12">
        <f>COUNTIF('Hand Coded'!B:B,"Support with Changes")</f>
        <v>39</v>
      </c>
      <c r="D4" s="13">
        <f>IF(C4=0,0,B4/C4)</f>
        <v>0.84615384615384615</v>
      </c>
    </row>
    <row r="5" spans="1:4" x14ac:dyDescent="0.2">
      <c r="A5" s="9" t="s">
        <v>396</v>
      </c>
      <c r="B5" s="12" cm="1">
        <f t="array" ref="B5">SUMPRODUCT(('Hand Coded'!B$1:B$10000="Oppose")*(IFERROR(INDEX('gemini-3.1-pro-preview'!$F:$F,MATCH('Hand Coded'!A$1:A$10000,'gemini-3.1-pro-preview'!$A:$A,0)),"")="oppose"))</f>
        <v>85</v>
      </c>
      <c r="C5" s="12">
        <f>COUNTIF('Hand Coded'!B:B,"Oppose")</f>
        <v>101</v>
      </c>
      <c r="D5" s="13">
        <f>IF(C5=0,0,B5/C5)</f>
        <v>0.84158415841584155</v>
      </c>
    </row>
    <row r="6" spans="1:4" ht="16" thickBot="1" x14ac:dyDescent="0.25">
      <c r="A6" s="10" t="s">
        <v>392</v>
      </c>
      <c r="B6" s="14" cm="1">
        <f t="array" ref="B6">SUMPRODUCT(('Hand Coded'!B$1:B$10000="Neutral")*(IFERROR(INDEX('gemini-3.1-pro-preview'!$F:$F,MATCH('Hand Coded'!A$1:A$10000,'gemini-3.1-pro-preview'!$A:$A,0)),"")="Neutral"))</f>
        <v>35</v>
      </c>
      <c r="C6" s="14">
        <f>COUNTIF('Hand Coded'!B:B,"Neutral")</f>
        <v>47</v>
      </c>
      <c r="D6" s="15">
        <f>IF(C6=0,0,B6/C6)</f>
        <v>0.74468085106382975</v>
      </c>
    </row>
    <row r="7" spans="1:4" x14ac:dyDescent="0.2">
      <c r="A7" s="11" t="s">
        <v>427</v>
      </c>
      <c r="B7" s="16">
        <f>SUM(B3:B6)</f>
        <v>187</v>
      </c>
      <c r="C7" s="16">
        <f>SUM(C3:C6)</f>
        <v>234</v>
      </c>
      <c r="D7" s="17">
        <f>IF(C7=0,0,B7/C7)</f>
        <v>0.79914529914529919</v>
      </c>
    </row>
    <row r="9" spans="1:4" ht="16" x14ac:dyDescent="0.2">
      <c r="A9" s="7" t="s">
        <v>147</v>
      </c>
    </row>
    <row r="10" spans="1:4" x14ac:dyDescent="0.2">
      <c r="A10" s="8" t="s">
        <v>423</v>
      </c>
      <c r="B10" s="18" t="s">
        <v>424</v>
      </c>
      <c r="C10" s="18" t="s">
        <v>425</v>
      </c>
      <c r="D10" s="18" t="s">
        <v>426</v>
      </c>
    </row>
    <row r="11" spans="1:4" x14ac:dyDescent="0.2">
      <c r="A11" s="9" t="s">
        <v>398</v>
      </c>
      <c r="B11" s="12" cm="1">
        <f t="array" ref="B11">SUMPRODUCT(('Hand Coded'!B$1:B$10000="Support")*(IFERROR(INDEX('gpt-5.4'!$F:$F,MATCH('Hand Coded'!A$1:A$10000,'gpt-5.4'!$A:$A,0)),"")="support"))</f>
        <v>29</v>
      </c>
      <c r="C11" s="12">
        <f>C3</f>
        <v>47</v>
      </c>
      <c r="D11" s="13">
        <f>IF(C11=0,0,B11/C11)</f>
        <v>0.61702127659574468</v>
      </c>
    </row>
    <row r="12" spans="1:4" x14ac:dyDescent="0.2">
      <c r="A12" s="9" t="s">
        <v>394</v>
      </c>
      <c r="B12" s="12" cm="1">
        <f t="array" ref="B12">SUMPRODUCT(('Hand Coded'!B$1:B$10000="Support with Changes")*(IFERROR(INDEX('gpt-5.4'!$F:$F,MATCH('Hand Coded'!A$1:A$10000,'gpt-5.4'!$A:$A,0)),"")="Support with Changes"))</f>
        <v>29</v>
      </c>
      <c r="C12" s="12">
        <f>C4</f>
        <v>39</v>
      </c>
      <c r="D12" s="13">
        <f>IF(C12=0,0,B12/C12)</f>
        <v>0.74358974358974361</v>
      </c>
    </row>
    <row r="13" spans="1:4" x14ac:dyDescent="0.2">
      <c r="A13" s="9" t="s">
        <v>396</v>
      </c>
      <c r="B13" s="12" cm="1">
        <f t="array" ref="B13">SUMPRODUCT(('Hand Coded'!B$1:B$10000="Oppose")*(IFERROR(INDEX('gpt-5.4'!$F:$F,MATCH('Hand Coded'!A$1:A$10000,'gpt-5.4'!$A:$A,0)),"")="oppose"))</f>
        <v>63</v>
      </c>
      <c r="C13" s="12">
        <f>C5</f>
        <v>101</v>
      </c>
      <c r="D13" s="13">
        <f>IF(C13=0,0,B13/C13)</f>
        <v>0.62376237623762376</v>
      </c>
    </row>
    <row r="14" spans="1:4" ht="16" thickBot="1" x14ac:dyDescent="0.25">
      <c r="A14" s="10" t="s">
        <v>392</v>
      </c>
      <c r="B14" s="14" cm="1">
        <f t="array" ref="B14">SUMPRODUCT(('Hand Coded'!B$1:B$10000="Neutral")*(IFERROR(INDEX('gpt-5.4'!$F:$F,MATCH('Hand Coded'!A$1:A$10000,'gpt-5.4'!$A:$A,0)),"")="Neutral"))</f>
        <v>39</v>
      </c>
      <c r="C14" s="14">
        <f>C6</f>
        <v>47</v>
      </c>
      <c r="D14" s="15">
        <f>IF(C14=0,0,B14/C14)</f>
        <v>0.82978723404255317</v>
      </c>
    </row>
    <row r="15" spans="1:4" x14ac:dyDescent="0.2">
      <c r="A15" s="11" t="s">
        <v>427</v>
      </c>
      <c r="B15" s="16">
        <f>SUM(B11:B14)</f>
        <v>160</v>
      </c>
      <c r="C15" s="16">
        <f>SUM(C11:C14)</f>
        <v>234</v>
      </c>
      <c r="D15" s="17">
        <f>IF(C15=0,0,B15/C15)</f>
        <v>0.68376068376068377</v>
      </c>
    </row>
    <row r="17" spans="1:4" ht="16" x14ac:dyDescent="0.2">
      <c r="A17" s="7" t="s">
        <v>258</v>
      </c>
    </row>
    <row r="18" spans="1:4" x14ac:dyDescent="0.2">
      <c r="A18" s="8" t="s">
        <v>423</v>
      </c>
      <c r="B18" s="18" t="s">
        <v>424</v>
      </c>
      <c r="C18" s="18" t="s">
        <v>425</v>
      </c>
      <c r="D18" s="18" t="s">
        <v>426</v>
      </c>
    </row>
    <row r="19" spans="1:4" x14ac:dyDescent="0.2">
      <c r="A19" s="9" t="s">
        <v>398</v>
      </c>
      <c r="B19" s="12" cm="1">
        <f t="array" ref="B19">SUMPRODUCT(('Hand Coded'!B$1:B$10000="Support")*(IFERROR(INDEX('claude-opus-4-6'!$F:$F,MATCH('Hand Coded'!A$1:A$10000,'claude-opus-4-6'!$A:$A,0)),"")="support"))</f>
        <v>38</v>
      </c>
      <c r="C19" s="12">
        <f>C3</f>
        <v>47</v>
      </c>
      <c r="D19" s="13">
        <f>IF(C19=0,0,B19/C19)</f>
        <v>0.80851063829787229</v>
      </c>
    </row>
    <row r="20" spans="1:4" x14ac:dyDescent="0.2">
      <c r="A20" s="9" t="s">
        <v>394</v>
      </c>
      <c r="B20" s="12" cm="1">
        <f t="array" ref="B20">SUMPRODUCT(('Hand Coded'!B$1:B$10000="Support with Changes")*(IFERROR(INDEX('claude-opus-4-6'!$F:$F,MATCH('Hand Coded'!A$1:A$10000,'claude-opus-4-6'!$A:$A,0)),"")="Support with Changes"))</f>
        <v>30</v>
      </c>
      <c r="C20" s="12">
        <f>C4</f>
        <v>39</v>
      </c>
      <c r="D20" s="13">
        <f>IF(C20=0,0,B20/C20)</f>
        <v>0.76923076923076927</v>
      </c>
    </row>
    <row r="21" spans="1:4" x14ac:dyDescent="0.2">
      <c r="A21" s="9" t="s">
        <v>396</v>
      </c>
      <c r="B21" s="12" cm="1">
        <f t="array" ref="B21">SUMPRODUCT(('Hand Coded'!B$1:B$10000="Oppose")*(IFERROR(INDEX('claude-opus-4-6'!$F:$F,MATCH('Hand Coded'!A$1:A$10000,'claude-opus-4-6'!$A:$A,0)),"")="oppose"))</f>
        <v>91</v>
      </c>
      <c r="C21" s="12">
        <f>C5</f>
        <v>101</v>
      </c>
      <c r="D21" s="13">
        <f>IF(C21=0,0,B21/C21)</f>
        <v>0.90099009900990101</v>
      </c>
    </row>
    <row r="22" spans="1:4" ht="16" thickBot="1" x14ac:dyDescent="0.25">
      <c r="A22" s="10" t="s">
        <v>392</v>
      </c>
      <c r="B22" s="14" cm="1">
        <f t="array" ref="B22">SUMPRODUCT(('Hand Coded'!B$1:B$10000="Neutral")*(IFERROR(INDEX('claude-opus-4-6'!$F:$F,MATCH('Hand Coded'!A$1:A$10000,'claude-opus-4-6'!$A:$A,0)),"")="Neutral"))</f>
        <v>28</v>
      </c>
      <c r="C22" s="14">
        <f>C6</f>
        <v>47</v>
      </c>
      <c r="D22" s="15">
        <f>IF(C22=0,0,B22/C22)</f>
        <v>0.5957446808510638</v>
      </c>
    </row>
    <row r="23" spans="1:4" x14ac:dyDescent="0.2">
      <c r="A23" s="11" t="s">
        <v>427</v>
      </c>
      <c r="B23" s="16">
        <f>SUM(B19:B22)</f>
        <v>187</v>
      </c>
      <c r="C23" s="16">
        <f>SUM(C19:C22)</f>
        <v>234</v>
      </c>
      <c r="D23" s="17">
        <f>IF(C23=0,0,B23/C23)</f>
        <v>0.79914529914529919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46B8-5462-8941-AC72-204BC221AFA5}">
  <dimension ref="A1:F69"/>
  <sheetViews>
    <sheetView topLeftCell="A5" workbookViewId="0"/>
  </sheetViews>
  <sheetFormatPr baseColWidth="10" defaultRowHeight="15" x14ac:dyDescent="0.2"/>
  <cols>
    <col min="1" max="1" width="41.6640625" customWidth="1"/>
    <col min="2" max="2" width="20" customWidth="1"/>
    <col min="3" max="3" width="33.33203125" customWidth="1"/>
    <col min="4" max="4" width="30" customWidth="1"/>
    <col min="5" max="5" width="16.6640625" customWidth="1"/>
    <col min="6" max="6" width="20" customWidth="1"/>
  </cols>
  <sheetData>
    <row r="1" spans="1:4" ht="19" x14ac:dyDescent="0.25">
      <c r="A1" s="19" t="s">
        <v>428</v>
      </c>
    </row>
    <row r="2" spans="1:4" x14ac:dyDescent="0.2">
      <c r="A2" t="s">
        <v>429</v>
      </c>
    </row>
    <row r="4" spans="1:4" ht="16" x14ac:dyDescent="0.2">
      <c r="A4" s="20" t="s">
        <v>430</v>
      </c>
    </row>
    <row r="6" spans="1:4" x14ac:dyDescent="0.2">
      <c r="A6" s="21" t="s">
        <v>431</v>
      </c>
    </row>
    <row r="7" spans="1:4" x14ac:dyDescent="0.2">
      <c r="A7" s="22" t="s">
        <v>423</v>
      </c>
      <c r="B7" s="22" t="s">
        <v>424</v>
      </c>
      <c r="C7" s="22" t="s">
        <v>425</v>
      </c>
      <c r="D7" s="22" t="s">
        <v>426</v>
      </c>
    </row>
    <row r="8" spans="1:4" x14ac:dyDescent="0.2">
      <c r="A8" t="s">
        <v>398</v>
      </c>
      <c r="B8">
        <v>26</v>
      </c>
      <c r="C8">
        <v>42</v>
      </c>
      <c r="D8" s="23">
        <f>B8/C8</f>
        <v>0.61904761904761907</v>
      </c>
    </row>
    <row r="9" spans="1:4" x14ac:dyDescent="0.2">
      <c r="A9" t="s">
        <v>394</v>
      </c>
      <c r="B9">
        <v>22</v>
      </c>
      <c r="C9">
        <v>28</v>
      </c>
      <c r="D9" s="23">
        <f>B9/C9</f>
        <v>0.7857142857142857</v>
      </c>
    </row>
    <row r="10" spans="1:4" x14ac:dyDescent="0.2">
      <c r="A10" t="s">
        <v>396</v>
      </c>
      <c r="B10">
        <v>73</v>
      </c>
      <c r="C10">
        <v>79</v>
      </c>
      <c r="D10" s="23">
        <f>B10/C10</f>
        <v>0.92405063291139244</v>
      </c>
    </row>
    <row r="11" spans="1:4" x14ac:dyDescent="0.2">
      <c r="A11" t="s">
        <v>392</v>
      </c>
      <c r="B11">
        <v>2</v>
      </c>
      <c r="C11">
        <v>29</v>
      </c>
      <c r="D11" s="23">
        <f>B11/C11</f>
        <v>6.8965517241379309E-2</v>
      </c>
    </row>
    <row r="12" spans="1:4" x14ac:dyDescent="0.2">
      <c r="A12" s="21" t="s">
        <v>427</v>
      </c>
      <c r="B12" s="21">
        <f>SUM(B8:B11)</f>
        <v>123</v>
      </c>
      <c r="C12" s="21">
        <f>SUM(C8:C11)</f>
        <v>178</v>
      </c>
      <c r="D12" s="24">
        <f>B12/C12</f>
        <v>0.6910112359550562</v>
      </c>
    </row>
    <row r="14" spans="1:4" x14ac:dyDescent="0.2">
      <c r="A14" s="21" t="s">
        <v>432</v>
      </c>
    </row>
    <row r="15" spans="1:4" x14ac:dyDescent="0.2">
      <c r="A15" s="22" t="s">
        <v>423</v>
      </c>
      <c r="B15" s="22" t="s">
        <v>424</v>
      </c>
      <c r="C15" s="22" t="s">
        <v>425</v>
      </c>
      <c r="D15" s="22" t="s">
        <v>426</v>
      </c>
    </row>
    <row r="16" spans="1:4" x14ac:dyDescent="0.2">
      <c r="A16" t="s">
        <v>398</v>
      </c>
      <c r="B16">
        <v>23</v>
      </c>
      <c r="C16">
        <v>34</v>
      </c>
      <c r="D16" s="23">
        <f>B16/C16</f>
        <v>0.67647058823529416</v>
      </c>
    </row>
    <row r="17" spans="1:4" x14ac:dyDescent="0.2">
      <c r="A17" t="s">
        <v>394</v>
      </c>
      <c r="B17">
        <v>22</v>
      </c>
      <c r="C17">
        <v>24</v>
      </c>
      <c r="D17" s="23">
        <f>B17/C17</f>
        <v>0.91666666666666663</v>
      </c>
    </row>
    <row r="18" spans="1:4" x14ac:dyDescent="0.2">
      <c r="A18" t="s">
        <v>396</v>
      </c>
      <c r="B18">
        <v>58</v>
      </c>
      <c r="C18">
        <v>67</v>
      </c>
      <c r="D18" s="23">
        <f>B18/C18</f>
        <v>0.86567164179104472</v>
      </c>
    </row>
    <row r="19" spans="1:4" x14ac:dyDescent="0.2">
      <c r="A19" t="s">
        <v>392</v>
      </c>
      <c r="B19">
        <v>3</v>
      </c>
      <c r="C19">
        <v>21</v>
      </c>
      <c r="D19" s="23">
        <f>B19/C19</f>
        <v>0.14285714285714285</v>
      </c>
    </row>
    <row r="20" spans="1:4" x14ac:dyDescent="0.2">
      <c r="A20" s="21" t="s">
        <v>427</v>
      </c>
      <c r="B20" s="21">
        <f>SUM(B16:B19)</f>
        <v>106</v>
      </c>
      <c r="C20" s="21">
        <f>SUM(C16:C19)</f>
        <v>146</v>
      </c>
      <c r="D20" s="24">
        <f>B20/C20</f>
        <v>0.72602739726027399</v>
      </c>
    </row>
    <row r="22" spans="1:4" x14ac:dyDescent="0.2">
      <c r="A22" s="21" t="s">
        <v>433</v>
      </c>
    </row>
    <row r="23" spans="1:4" x14ac:dyDescent="0.2">
      <c r="A23" s="22" t="s">
        <v>423</v>
      </c>
      <c r="B23" s="22" t="s">
        <v>424</v>
      </c>
      <c r="C23" s="22" t="s">
        <v>425</v>
      </c>
      <c r="D23" s="22" t="s">
        <v>426</v>
      </c>
    </row>
    <row r="24" spans="1:4" x14ac:dyDescent="0.2">
      <c r="A24" t="s">
        <v>398</v>
      </c>
      <c r="B24">
        <v>32</v>
      </c>
      <c r="C24">
        <v>43</v>
      </c>
      <c r="D24" s="23">
        <f>B24/C24</f>
        <v>0.7441860465116279</v>
      </c>
    </row>
    <row r="25" spans="1:4" x14ac:dyDescent="0.2">
      <c r="A25" t="s">
        <v>394</v>
      </c>
      <c r="B25">
        <v>21</v>
      </c>
      <c r="C25">
        <v>30</v>
      </c>
      <c r="D25" s="23">
        <f>B25/C25</f>
        <v>0.7</v>
      </c>
    </row>
    <row r="26" spans="1:4" x14ac:dyDescent="0.2">
      <c r="A26" t="s">
        <v>396</v>
      </c>
      <c r="B26">
        <v>80</v>
      </c>
      <c r="C26">
        <v>82</v>
      </c>
      <c r="D26" s="23">
        <f>B26/C26</f>
        <v>0.97560975609756095</v>
      </c>
    </row>
    <row r="27" spans="1:4" x14ac:dyDescent="0.2">
      <c r="A27" t="s">
        <v>392</v>
      </c>
      <c r="B27">
        <v>0</v>
      </c>
      <c r="C27">
        <v>34</v>
      </c>
      <c r="D27" s="23">
        <f>B27/C27</f>
        <v>0</v>
      </c>
    </row>
    <row r="28" spans="1:4" x14ac:dyDescent="0.2">
      <c r="A28" s="21" t="s">
        <v>427</v>
      </c>
      <c r="B28" s="21">
        <f>SUM(B24:B27)</f>
        <v>133</v>
      </c>
      <c r="C28" s="21">
        <f>SUM(C24:C27)</f>
        <v>189</v>
      </c>
      <c r="D28" s="24">
        <f>B28/C28</f>
        <v>0.70370370370370372</v>
      </c>
    </row>
    <row r="31" spans="1:4" ht="16" x14ac:dyDescent="0.2">
      <c r="A31" s="25" t="s">
        <v>434</v>
      </c>
    </row>
    <row r="33" spans="1:4" x14ac:dyDescent="0.2">
      <c r="A33" s="21" t="s">
        <v>435</v>
      </c>
    </row>
    <row r="34" spans="1:4" x14ac:dyDescent="0.2">
      <c r="A34" s="26" t="s">
        <v>423</v>
      </c>
      <c r="B34" s="26" t="s">
        <v>424</v>
      </c>
      <c r="C34" s="26" t="s">
        <v>425</v>
      </c>
      <c r="D34" s="26" t="s">
        <v>426</v>
      </c>
    </row>
    <row r="35" spans="1:4" x14ac:dyDescent="0.2">
      <c r="A35" t="s">
        <v>398</v>
      </c>
      <c r="B35">
        <v>1</v>
      </c>
      <c r="C35">
        <v>9</v>
      </c>
      <c r="D35" s="23">
        <f>B35/C35</f>
        <v>0.1111111111111111</v>
      </c>
    </row>
    <row r="36" spans="1:4" x14ac:dyDescent="0.2">
      <c r="A36" t="s">
        <v>394</v>
      </c>
      <c r="B36">
        <v>2</v>
      </c>
      <c r="C36">
        <v>2</v>
      </c>
      <c r="D36" s="23">
        <f>B36/C36</f>
        <v>1</v>
      </c>
    </row>
    <row r="37" spans="1:4" x14ac:dyDescent="0.2">
      <c r="A37" t="s">
        <v>396</v>
      </c>
      <c r="B37">
        <v>5</v>
      </c>
      <c r="C37">
        <v>11</v>
      </c>
      <c r="D37" s="23">
        <f>B37/C37</f>
        <v>0.45454545454545453</v>
      </c>
    </row>
    <row r="38" spans="1:4" x14ac:dyDescent="0.2">
      <c r="A38" t="s">
        <v>392</v>
      </c>
      <c r="B38">
        <v>28</v>
      </c>
      <c r="C38">
        <v>29</v>
      </c>
      <c r="D38" s="23">
        <f>B38/C38</f>
        <v>0.96551724137931039</v>
      </c>
    </row>
    <row r="39" spans="1:4" x14ac:dyDescent="0.2">
      <c r="A39" s="21" t="s">
        <v>427</v>
      </c>
      <c r="B39" s="21">
        <f>SUM(B35:B38)</f>
        <v>36</v>
      </c>
      <c r="C39" s="21">
        <f>SUM(C35:C38)</f>
        <v>51</v>
      </c>
      <c r="D39" s="24">
        <f>B39/C39</f>
        <v>0.70588235294117652</v>
      </c>
    </row>
    <row r="41" spans="1:4" x14ac:dyDescent="0.2">
      <c r="A41" s="21" t="s">
        <v>436</v>
      </c>
    </row>
    <row r="42" spans="1:4" x14ac:dyDescent="0.2">
      <c r="A42" s="26" t="s">
        <v>423</v>
      </c>
      <c r="B42" s="26" t="s">
        <v>424</v>
      </c>
      <c r="C42" s="26" t="s">
        <v>425</v>
      </c>
      <c r="D42" s="26" t="s">
        <v>426</v>
      </c>
    </row>
    <row r="43" spans="1:4" x14ac:dyDescent="0.2">
      <c r="A43" t="s">
        <v>398</v>
      </c>
      <c r="B43">
        <v>1</v>
      </c>
      <c r="C43">
        <v>17</v>
      </c>
      <c r="D43" s="23">
        <f>B43/C43</f>
        <v>5.8823529411764705E-2</v>
      </c>
    </row>
    <row r="44" spans="1:4" x14ac:dyDescent="0.2">
      <c r="A44" t="s">
        <v>394</v>
      </c>
      <c r="B44">
        <v>0</v>
      </c>
      <c r="C44">
        <v>6</v>
      </c>
      <c r="D44" s="23">
        <f>B44/C44</f>
        <v>0</v>
      </c>
    </row>
    <row r="45" spans="1:4" x14ac:dyDescent="0.2">
      <c r="A45" t="s">
        <v>396</v>
      </c>
      <c r="B45">
        <v>0</v>
      </c>
      <c r="C45">
        <v>23</v>
      </c>
      <c r="D45" s="23">
        <f>B45/C45</f>
        <v>0</v>
      </c>
    </row>
    <row r="46" spans="1:4" x14ac:dyDescent="0.2">
      <c r="A46" t="s">
        <v>392</v>
      </c>
      <c r="B46">
        <v>36</v>
      </c>
      <c r="C46">
        <v>37</v>
      </c>
      <c r="D46" s="23">
        <f>B46/C46</f>
        <v>0.97297297297297303</v>
      </c>
    </row>
    <row r="47" spans="1:4" x14ac:dyDescent="0.2">
      <c r="A47" s="21" t="s">
        <v>427</v>
      </c>
      <c r="B47" s="21">
        <f>SUM(B43:B46)</f>
        <v>37</v>
      </c>
      <c r="C47" s="21">
        <f>SUM(C43:C46)</f>
        <v>83</v>
      </c>
      <c r="D47" s="24">
        <f>B47/C47</f>
        <v>0.44578313253012047</v>
      </c>
    </row>
    <row r="49" spans="1:6" x14ac:dyDescent="0.2">
      <c r="A49" s="21" t="s">
        <v>437</v>
      </c>
    </row>
    <row r="50" spans="1:6" x14ac:dyDescent="0.2">
      <c r="A50" s="26" t="s">
        <v>423</v>
      </c>
      <c r="B50" s="26" t="s">
        <v>424</v>
      </c>
      <c r="C50" s="26" t="s">
        <v>425</v>
      </c>
      <c r="D50" s="26" t="s">
        <v>426</v>
      </c>
    </row>
    <row r="51" spans="1:6" x14ac:dyDescent="0.2">
      <c r="A51" t="s">
        <v>398</v>
      </c>
      <c r="B51">
        <v>1</v>
      </c>
      <c r="C51">
        <v>8</v>
      </c>
      <c r="D51" s="23">
        <f>B51/C51</f>
        <v>0.125</v>
      </c>
    </row>
    <row r="52" spans="1:6" x14ac:dyDescent="0.2">
      <c r="A52" t="s">
        <v>394</v>
      </c>
      <c r="B52">
        <v>0</v>
      </c>
      <c r="C52">
        <v>0</v>
      </c>
      <c r="D52" t="s">
        <v>438</v>
      </c>
    </row>
    <row r="53" spans="1:6" x14ac:dyDescent="0.2">
      <c r="A53" t="s">
        <v>396</v>
      </c>
      <c r="B53">
        <v>3</v>
      </c>
      <c r="C53">
        <v>8</v>
      </c>
      <c r="D53" s="23">
        <f>B53/C53</f>
        <v>0.375</v>
      </c>
    </row>
    <row r="54" spans="1:6" x14ac:dyDescent="0.2">
      <c r="A54" t="s">
        <v>392</v>
      </c>
      <c r="B54">
        <v>24</v>
      </c>
      <c r="C54">
        <v>24</v>
      </c>
      <c r="D54" s="23">
        <f>B54/C54</f>
        <v>1</v>
      </c>
    </row>
    <row r="55" spans="1:6" x14ac:dyDescent="0.2">
      <c r="A55" s="21" t="s">
        <v>427</v>
      </c>
      <c r="B55" s="21">
        <f>SUM(B51:B54)</f>
        <v>28</v>
      </c>
      <c r="C55" s="21">
        <f>SUM(C51:C54)</f>
        <v>40</v>
      </c>
      <c r="D55" s="24">
        <f>B55/C55</f>
        <v>0.7</v>
      </c>
    </row>
    <row r="58" spans="1:6" ht="16" x14ac:dyDescent="0.2">
      <c r="A58" s="27" t="s">
        <v>439</v>
      </c>
    </row>
    <row r="60" spans="1:6" x14ac:dyDescent="0.2">
      <c r="A60" s="31" t="s">
        <v>440</v>
      </c>
      <c r="B60" s="29" t="s">
        <v>441</v>
      </c>
      <c r="C60" s="30" t="s">
        <v>442</v>
      </c>
      <c r="D60" s="31" t="s">
        <v>443</v>
      </c>
      <c r="E60" s="31" t="s">
        <v>444</v>
      </c>
      <c r="F60" s="31" t="s">
        <v>445</v>
      </c>
    </row>
    <row r="61" spans="1:6" x14ac:dyDescent="0.2">
      <c r="A61" s="9" t="s">
        <v>11</v>
      </c>
      <c r="B61" s="28">
        <f>D12</f>
        <v>0.6910112359550562</v>
      </c>
      <c r="C61" s="28">
        <f>D39</f>
        <v>0.70588235294117652</v>
      </c>
      <c r="D61" s="28">
        <f>B61-C61</f>
        <v>-1.4871116986120314E-2</v>
      </c>
      <c r="E61" s="9">
        <v>51</v>
      </c>
      <c r="F61" s="9">
        <v>189</v>
      </c>
    </row>
    <row r="62" spans="1:6" x14ac:dyDescent="0.2">
      <c r="A62" s="9" t="s">
        <v>147</v>
      </c>
      <c r="B62" s="28">
        <f>D20</f>
        <v>0.72602739726027399</v>
      </c>
      <c r="C62" s="28">
        <f>D47</f>
        <v>0.44578313253012047</v>
      </c>
      <c r="D62" s="28">
        <f>B62-C62</f>
        <v>0.28024426473015351</v>
      </c>
      <c r="E62" s="9">
        <v>84</v>
      </c>
      <c r="F62" s="9">
        <v>156</v>
      </c>
    </row>
    <row r="63" spans="1:6" x14ac:dyDescent="0.2">
      <c r="A63" s="9" t="s">
        <v>258</v>
      </c>
      <c r="B63" s="28">
        <f>D28</f>
        <v>0.70370370370370372</v>
      </c>
      <c r="C63" s="28">
        <f>D55</f>
        <v>0.7</v>
      </c>
      <c r="D63" s="28">
        <f>B63-C63</f>
        <v>3.7037037037037646E-3</v>
      </c>
      <c r="E63" s="9">
        <v>40</v>
      </c>
      <c r="F63" s="9">
        <v>200</v>
      </c>
    </row>
    <row r="65" spans="1:1" x14ac:dyDescent="0.2">
      <c r="A65" s="21" t="s">
        <v>446</v>
      </c>
    </row>
    <row r="66" spans="1:1" x14ac:dyDescent="0.2">
      <c r="A66" t="s">
        <v>447</v>
      </c>
    </row>
    <row r="67" spans="1:1" x14ac:dyDescent="0.2">
      <c r="A67" t="s">
        <v>448</v>
      </c>
    </row>
    <row r="68" spans="1:1" x14ac:dyDescent="0.2">
      <c r="A68" t="s">
        <v>449</v>
      </c>
    </row>
    <row r="69" spans="1:1" x14ac:dyDescent="0.2">
      <c r="A69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gemini-3.1-pro-preview</vt:lpstr>
      <vt:lpstr>gpt-5.4</vt:lpstr>
      <vt:lpstr>claude-opus-4-6</vt:lpstr>
      <vt:lpstr>Sheet1</vt:lpstr>
      <vt:lpstr>Hand Coded</vt:lpstr>
      <vt:lpstr>Accuracy Table</vt:lpstr>
      <vt:lpstr>Error tracing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Bhaskar, Armaan</cp:lastModifiedBy>
  <dcterms:created xsi:type="dcterms:W3CDTF">2026-04-08T16:05:25Z</dcterms:created>
  <dcterms:modified xsi:type="dcterms:W3CDTF">2026-04-13T14:53:54Z</dcterms:modified>
</cp:coreProperties>
</file>