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rmaanbhaskar/Desktop/Capstone Project/"/>
    </mc:Choice>
  </mc:AlternateContent>
  <xr:revisionPtr revIDLastSave="0" documentId="13_ncr:1_{76320768-D2E5-0F49-803F-B392F5888DE3}" xr6:coauthVersionLast="47" xr6:coauthVersionMax="47" xr10:uidLastSave="{00000000-0000-0000-0000-000000000000}"/>
  <bookViews>
    <workbookView xWindow="100" yWindow="5200" windowWidth="30240" windowHeight="17900" firstSheet="3" activeTab="6" xr2:uid="{00000000-000D-0000-FFFF-FFFF00000000}"/>
  </bookViews>
  <sheets>
    <sheet name="gemini-3.1-flash-lite-preview" sheetId="1" r:id="rId1"/>
    <sheet name="gpt-5.4-mini" sheetId="2" r:id="rId2"/>
    <sheet name="claude-sonnet-4-6" sheetId="3" r:id="rId3"/>
    <sheet name="Hand Coded" sheetId="4" r:id="rId4"/>
    <sheet name="Jess" sheetId="13" r:id="rId5"/>
    <sheet name="Hand Code Off" sheetId="14" r:id="rId6"/>
    <sheet name="Sentiment Analysis" sheetId="5" r:id="rId7"/>
    <sheet name="Disagreement Analysis" sheetId="7" r:id="rId8"/>
    <sheet name="Feedback Theme" sheetId="8" r:id="rId9"/>
    <sheet name="Project Type" sheetId="9" r:id="rId10"/>
    <sheet name="Commenter Type" sheetId="10" r:id="rId11"/>
    <sheet name="Project State" sheetId="11" r:id="rId12"/>
    <sheet name="Project Region" sheetId="12" r:id="rId13"/>
  </sheets>
  <definedNames>
    <definedName name="_xlnm._FilterDatabase" localSheetId="7" hidden="1">'Disagreement Analysis'!$A$1:$N$235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1" i="14" l="1"/>
  <c r="S61" i="14" s="1"/>
  <c r="Q61" i="14"/>
  <c r="O61" i="14"/>
  <c r="N61" i="14"/>
  <c r="L61" i="14"/>
  <c r="M61" i="14" s="1"/>
  <c r="K61" i="14"/>
  <c r="I61" i="14"/>
  <c r="H61" i="14"/>
  <c r="F61" i="14"/>
  <c r="G61" i="14" s="1"/>
  <c r="E61" i="14"/>
  <c r="C61" i="14"/>
  <c r="D61" i="14" s="1"/>
  <c r="B61" i="14"/>
  <c r="A61" i="14"/>
  <c r="R60" i="14"/>
  <c r="Q60" i="14"/>
  <c r="O60" i="14"/>
  <c r="P60" i="14" s="1"/>
  <c r="N60" i="14"/>
  <c r="K60" i="14"/>
  <c r="I60" i="14"/>
  <c r="J60" i="14" s="1"/>
  <c r="H60" i="14"/>
  <c r="F60" i="14"/>
  <c r="E60" i="14"/>
  <c r="C60" i="14"/>
  <c r="D60" i="14" s="1"/>
  <c r="B60" i="14"/>
  <c r="A60" i="14"/>
  <c r="L60" i="14" s="1"/>
  <c r="M60" i="14" s="1"/>
  <c r="Q59" i="14"/>
  <c r="N59" i="14"/>
  <c r="K59" i="14"/>
  <c r="H59" i="14"/>
  <c r="E59" i="14"/>
  <c r="B59" i="14"/>
  <c r="A59" i="14"/>
  <c r="R58" i="14"/>
  <c r="S58" i="14" s="1"/>
  <c r="Q58" i="14"/>
  <c r="N58" i="14"/>
  <c r="L58" i="14"/>
  <c r="M58" i="14" s="1"/>
  <c r="K58" i="14"/>
  <c r="I58" i="14"/>
  <c r="J58" i="14" s="1"/>
  <c r="H58" i="14"/>
  <c r="E58" i="14"/>
  <c r="B58" i="14"/>
  <c r="A58" i="14"/>
  <c r="R57" i="14"/>
  <c r="S57" i="14" s="1"/>
  <c r="Q57" i="14"/>
  <c r="N57" i="14"/>
  <c r="L57" i="14"/>
  <c r="M57" i="14" s="1"/>
  <c r="K57" i="14"/>
  <c r="I57" i="14"/>
  <c r="H57" i="14"/>
  <c r="E57" i="14"/>
  <c r="B57" i="14"/>
  <c r="A57" i="14"/>
  <c r="R56" i="14"/>
  <c r="S56" i="14" s="1"/>
  <c r="Q56" i="14"/>
  <c r="N56" i="14"/>
  <c r="K56" i="14"/>
  <c r="I56" i="14"/>
  <c r="J56" i="14" s="1"/>
  <c r="H56" i="14"/>
  <c r="E56" i="14"/>
  <c r="B56" i="14"/>
  <c r="A56" i="14"/>
  <c r="R55" i="14"/>
  <c r="S55" i="14" s="1"/>
  <c r="Q55" i="14"/>
  <c r="O55" i="14"/>
  <c r="N55" i="14"/>
  <c r="L55" i="14"/>
  <c r="M55" i="14" s="1"/>
  <c r="K55" i="14"/>
  <c r="I55" i="14"/>
  <c r="H55" i="14"/>
  <c r="E55" i="14"/>
  <c r="C55" i="14"/>
  <c r="D55" i="14" s="1"/>
  <c r="B55" i="14"/>
  <c r="A55" i="14"/>
  <c r="F55" i="14" s="1"/>
  <c r="Q54" i="14"/>
  <c r="O54" i="14"/>
  <c r="N54" i="14"/>
  <c r="L54" i="14"/>
  <c r="M54" i="14" s="1"/>
  <c r="K54" i="14"/>
  <c r="H54" i="14"/>
  <c r="F54" i="14"/>
  <c r="G54" i="14" s="1"/>
  <c r="E54" i="14"/>
  <c r="C54" i="14"/>
  <c r="D54" i="14" s="1"/>
  <c r="B54" i="14"/>
  <c r="A54" i="14"/>
  <c r="Q53" i="14"/>
  <c r="N53" i="14"/>
  <c r="K53" i="14"/>
  <c r="H53" i="14"/>
  <c r="E53" i="14"/>
  <c r="B53" i="14"/>
  <c r="A53" i="14"/>
  <c r="O53" i="14" s="1"/>
  <c r="P53" i="14" s="1"/>
  <c r="R52" i="14"/>
  <c r="S52" i="14" s="1"/>
  <c r="Q52" i="14"/>
  <c r="N52" i="14"/>
  <c r="L52" i="14"/>
  <c r="M52" i="14" s="1"/>
  <c r="K52" i="14"/>
  <c r="H52" i="14"/>
  <c r="G52" i="14"/>
  <c r="F52" i="14"/>
  <c r="E52" i="14"/>
  <c r="B52" i="14"/>
  <c r="A52" i="14"/>
  <c r="R51" i="14"/>
  <c r="S51" i="14" s="1"/>
  <c r="Q51" i="14"/>
  <c r="O51" i="14"/>
  <c r="P51" i="14" s="1"/>
  <c r="N51" i="14"/>
  <c r="L51" i="14"/>
  <c r="M51" i="14" s="1"/>
  <c r="K51" i="14"/>
  <c r="I51" i="14"/>
  <c r="H51" i="14"/>
  <c r="F51" i="14"/>
  <c r="G51" i="14" s="1"/>
  <c r="E51" i="14"/>
  <c r="C51" i="14"/>
  <c r="D51" i="14" s="1"/>
  <c r="B51" i="14"/>
  <c r="A51" i="14"/>
  <c r="Q50" i="14"/>
  <c r="N50" i="14"/>
  <c r="K50" i="14"/>
  <c r="H50" i="14"/>
  <c r="E50" i="14"/>
  <c r="B50" i="14"/>
  <c r="A50" i="14"/>
  <c r="L50" i="14" s="1"/>
  <c r="M50" i="14" s="1"/>
  <c r="Q49" i="14"/>
  <c r="N49" i="14"/>
  <c r="K49" i="14"/>
  <c r="H49" i="14"/>
  <c r="E49" i="14"/>
  <c r="B49" i="14"/>
  <c r="A49" i="14"/>
  <c r="O49" i="14" s="1"/>
  <c r="Q48" i="14"/>
  <c r="N48" i="14"/>
  <c r="K48" i="14"/>
  <c r="H48" i="14"/>
  <c r="E48" i="14"/>
  <c r="B48" i="14"/>
  <c r="A48" i="14"/>
  <c r="O48" i="14" s="1"/>
  <c r="Q47" i="14"/>
  <c r="N47" i="14"/>
  <c r="K47" i="14"/>
  <c r="H47" i="14"/>
  <c r="E47" i="14"/>
  <c r="B47" i="14"/>
  <c r="A47" i="14"/>
  <c r="L47" i="14" s="1"/>
  <c r="Q46" i="14"/>
  <c r="N46" i="14"/>
  <c r="K46" i="14"/>
  <c r="H46" i="14"/>
  <c r="E46" i="14"/>
  <c r="B46" i="14"/>
  <c r="A46" i="14"/>
  <c r="Q45" i="14"/>
  <c r="N45" i="14"/>
  <c r="K45" i="14"/>
  <c r="H45" i="14"/>
  <c r="E45" i="14"/>
  <c r="B45" i="14"/>
  <c r="A45" i="14"/>
  <c r="F45" i="14" s="1"/>
  <c r="Q44" i="14"/>
  <c r="N44" i="14"/>
  <c r="K44" i="14"/>
  <c r="H44" i="14"/>
  <c r="E44" i="14"/>
  <c r="B44" i="14"/>
  <c r="A44" i="14"/>
  <c r="R44" i="14" s="1"/>
  <c r="Q43" i="14"/>
  <c r="N43" i="14"/>
  <c r="K43" i="14"/>
  <c r="H43" i="14"/>
  <c r="E43" i="14"/>
  <c r="B43" i="14"/>
  <c r="A43" i="14"/>
  <c r="Q42" i="14"/>
  <c r="N42" i="14"/>
  <c r="K42" i="14"/>
  <c r="H42" i="14"/>
  <c r="E42" i="14"/>
  <c r="B42" i="14"/>
  <c r="A42" i="14"/>
  <c r="O42" i="14" s="1"/>
  <c r="Q41" i="14"/>
  <c r="N41" i="14"/>
  <c r="K41" i="14"/>
  <c r="H41" i="14"/>
  <c r="E41" i="14"/>
  <c r="B41" i="14"/>
  <c r="A41" i="14"/>
  <c r="I41" i="14" s="1"/>
  <c r="Q40" i="14"/>
  <c r="N40" i="14"/>
  <c r="K40" i="14"/>
  <c r="H40" i="14"/>
  <c r="E40" i="14"/>
  <c r="B40" i="14"/>
  <c r="A40" i="14"/>
  <c r="L40" i="14" s="1"/>
  <c r="M40" i="14" s="1"/>
  <c r="Q39" i="14"/>
  <c r="N39" i="14"/>
  <c r="K39" i="14"/>
  <c r="H39" i="14"/>
  <c r="E39" i="14"/>
  <c r="B39" i="14"/>
  <c r="A39" i="14"/>
  <c r="R39" i="14" s="1"/>
  <c r="S39" i="14" s="1"/>
  <c r="R38" i="14"/>
  <c r="S38" i="14" s="1"/>
  <c r="Q38" i="14"/>
  <c r="N38" i="14"/>
  <c r="K38" i="14"/>
  <c r="H38" i="14"/>
  <c r="F38" i="14"/>
  <c r="G38" i="14" s="1"/>
  <c r="E38" i="14"/>
  <c r="B38" i="14"/>
  <c r="A38" i="14"/>
  <c r="O38" i="14" s="1"/>
  <c r="P38" i="14" s="1"/>
  <c r="Q37" i="14"/>
  <c r="N37" i="14"/>
  <c r="K37" i="14"/>
  <c r="I37" i="14"/>
  <c r="J37" i="14" s="1"/>
  <c r="H37" i="14"/>
  <c r="E37" i="14"/>
  <c r="B37" i="14"/>
  <c r="A37" i="14"/>
  <c r="Q36" i="14"/>
  <c r="N36" i="14"/>
  <c r="K36" i="14"/>
  <c r="H36" i="14"/>
  <c r="E36" i="14"/>
  <c r="B36" i="14"/>
  <c r="A36" i="14"/>
  <c r="Q35" i="14"/>
  <c r="N35" i="14"/>
  <c r="K35" i="14"/>
  <c r="H35" i="14"/>
  <c r="E35" i="14"/>
  <c r="B35" i="14"/>
  <c r="A35" i="14"/>
  <c r="Q34" i="14"/>
  <c r="N34" i="14"/>
  <c r="K34" i="14"/>
  <c r="I34" i="14"/>
  <c r="J34" i="14" s="1"/>
  <c r="H34" i="14"/>
  <c r="F34" i="14"/>
  <c r="G34" i="14" s="1"/>
  <c r="E34" i="14"/>
  <c r="C34" i="14"/>
  <c r="D34" i="14" s="1"/>
  <c r="B34" i="14"/>
  <c r="A34" i="14"/>
  <c r="R34" i="14" s="1"/>
  <c r="S34" i="14" s="1"/>
  <c r="Q33" i="14"/>
  <c r="N33" i="14"/>
  <c r="K33" i="14"/>
  <c r="H33" i="14"/>
  <c r="E33" i="14"/>
  <c r="B33" i="14"/>
  <c r="A33" i="14"/>
  <c r="Q32" i="14"/>
  <c r="P32" i="14"/>
  <c r="O32" i="14"/>
  <c r="N32" i="14"/>
  <c r="K32" i="14"/>
  <c r="H32" i="14"/>
  <c r="E32" i="14"/>
  <c r="B32" i="14"/>
  <c r="A32" i="14"/>
  <c r="L32" i="14" s="1"/>
  <c r="M32" i="14" s="1"/>
  <c r="R31" i="14"/>
  <c r="S31" i="14" s="1"/>
  <c r="Q31" i="14"/>
  <c r="O31" i="14"/>
  <c r="N31" i="14"/>
  <c r="M31" i="14"/>
  <c r="L31" i="14"/>
  <c r="K31" i="14"/>
  <c r="I31" i="14"/>
  <c r="J31" i="14" s="1"/>
  <c r="H31" i="14"/>
  <c r="F31" i="14"/>
  <c r="G31" i="14" s="1"/>
  <c r="E31" i="14"/>
  <c r="C31" i="14"/>
  <c r="D31" i="14" s="1"/>
  <c r="B31" i="14"/>
  <c r="A31" i="14"/>
  <c r="S30" i="14"/>
  <c r="R30" i="14"/>
  <c r="Q30" i="14"/>
  <c r="P30" i="14"/>
  <c r="O30" i="14"/>
  <c r="N30" i="14"/>
  <c r="K30" i="14"/>
  <c r="I30" i="14"/>
  <c r="H30" i="14"/>
  <c r="F30" i="14"/>
  <c r="E30" i="14"/>
  <c r="G30" i="14" s="1"/>
  <c r="C30" i="14"/>
  <c r="D30" i="14" s="1"/>
  <c r="B30" i="14"/>
  <c r="A30" i="14"/>
  <c r="L30" i="14" s="1"/>
  <c r="M30" i="14" s="1"/>
  <c r="R29" i="14"/>
  <c r="S29" i="14" s="1"/>
  <c r="Q29" i="14"/>
  <c r="N29" i="14"/>
  <c r="K29" i="14"/>
  <c r="I29" i="14"/>
  <c r="J29" i="14" s="1"/>
  <c r="H29" i="14"/>
  <c r="F29" i="14"/>
  <c r="G29" i="14" s="1"/>
  <c r="E29" i="14"/>
  <c r="B29" i="14"/>
  <c r="A29" i="14"/>
  <c r="Q28" i="14"/>
  <c r="N28" i="14"/>
  <c r="K28" i="14"/>
  <c r="I28" i="14"/>
  <c r="J28" i="14" s="1"/>
  <c r="H28" i="14"/>
  <c r="E28" i="14"/>
  <c r="B28" i="14"/>
  <c r="A28" i="14"/>
  <c r="R27" i="14"/>
  <c r="Q27" i="14"/>
  <c r="P27" i="14"/>
  <c r="N27" i="14"/>
  <c r="K27" i="14"/>
  <c r="I27" i="14"/>
  <c r="H27" i="14"/>
  <c r="F27" i="14"/>
  <c r="G27" i="14" s="1"/>
  <c r="E27" i="14"/>
  <c r="C27" i="14"/>
  <c r="B27" i="14"/>
  <c r="A27" i="14"/>
  <c r="O27" i="14" s="1"/>
  <c r="R26" i="14"/>
  <c r="S26" i="14" s="1"/>
  <c r="Q26" i="14"/>
  <c r="N26" i="14"/>
  <c r="L26" i="14"/>
  <c r="M26" i="14" s="1"/>
  <c r="K26" i="14"/>
  <c r="I26" i="14"/>
  <c r="J26" i="14" s="1"/>
  <c r="H26" i="14"/>
  <c r="E26" i="14"/>
  <c r="C26" i="14"/>
  <c r="D26" i="14" s="1"/>
  <c r="B26" i="14"/>
  <c r="A26" i="14"/>
  <c r="Q25" i="14"/>
  <c r="O25" i="14"/>
  <c r="P25" i="14" s="1"/>
  <c r="N25" i="14"/>
  <c r="K25" i="14"/>
  <c r="H25" i="14"/>
  <c r="E25" i="14"/>
  <c r="C25" i="14"/>
  <c r="D25" i="14" s="1"/>
  <c r="B25" i="14"/>
  <c r="A25" i="14"/>
  <c r="Q24" i="14"/>
  <c r="N24" i="14"/>
  <c r="M24" i="14"/>
  <c r="L24" i="14"/>
  <c r="K24" i="14"/>
  <c r="J24" i="14"/>
  <c r="I24" i="14"/>
  <c r="H24" i="14"/>
  <c r="E24" i="14"/>
  <c r="B24" i="14"/>
  <c r="A24" i="14"/>
  <c r="Q23" i="14"/>
  <c r="N23" i="14"/>
  <c r="K23" i="14"/>
  <c r="H23" i="14"/>
  <c r="G23" i="14"/>
  <c r="F23" i="14"/>
  <c r="E23" i="14"/>
  <c r="C23" i="14"/>
  <c r="D23" i="14" s="1"/>
  <c r="B23" i="14"/>
  <c r="A23" i="14"/>
  <c r="R22" i="14"/>
  <c r="S22" i="14" s="1"/>
  <c r="Q22" i="14"/>
  <c r="O22" i="14"/>
  <c r="P22" i="14" s="1"/>
  <c r="N22" i="14"/>
  <c r="L22" i="14"/>
  <c r="M22" i="14" s="1"/>
  <c r="K22" i="14"/>
  <c r="H22" i="14"/>
  <c r="F22" i="14"/>
  <c r="E22" i="14"/>
  <c r="C22" i="14"/>
  <c r="B22" i="14"/>
  <c r="D22" i="14" s="1"/>
  <c r="A22" i="14"/>
  <c r="I22" i="14" s="1"/>
  <c r="R21" i="14"/>
  <c r="Q21" i="14"/>
  <c r="O21" i="14"/>
  <c r="P21" i="14" s="1"/>
  <c r="N21" i="14"/>
  <c r="L21" i="14"/>
  <c r="M21" i="14" s="1"/>
  <c r="K21" i="14"/>
  <c r="I21" i="14"/>
  <c r="J21" i="14" s="1"/>
  <c r="H21" i="14"/>
  <c r="F21" i="14"/>
  <c r="E21" i="14"/>
  <c r="G21" i="14" s="1"/>
  <c r="C21" i="14"/>
  <c r="D21" i="14" s="1"/>
  <c r="B21" i="14"/>
  <c r="A21" i="14"/>
  <c r="R20" i="14"/>
  <c r="Q20" i="14"/>
  <c r="O20" i="14"/>
  <c r="N20" i="14"/>
  <c r="P20" i="14" s="1"/>
  <c r="M20" i="14"/>
  <c r="K20" i="14"/>
  <c r="I20" i="14"/>
  <c r="J20" i="14" s="1"/>
  <c r="H20" i="14"/>
  <c r="F20" i="14"/>
  <c r="G20" i="14" s="1"/>
  <c r="E20" i="14"/>
  <c r="C20" i="14"/>
  <c r="D20" i="14" s="1"/>
  <c r="B20" i="14"/>
  <c r="A20" i="14"/>
  <c r="L20" i="14" s="1"/>
  <c r="R19" i="14"/>
  <c r="S19" i="14" s="1"/>
  <c r="Q19" i="14"/>
  <c r="N19" i="14"/>
  <c r="K19" i="14"/>
  <c r="H19" i="14"/>
  <c r="E19" i="14"/>
  <c r="B19" i="14"/>
  <c r="A19" i="14"/>
  <c r="F19" i="14" s="1"/>
  <c r="G19" i="14" s="1"/>
  <c r="Q18" i="14"/>
  <c r="N18" i="14"/>
  <c r="K18" i="14"/>
  <c r="H18" i="14"/>
  <c r="E18" i="14"/>
  <c r="B18" i="14"/>
  <c r="A18" i="14"/>
  <c r="Q17" i="14"/>
  <c r="N17" i="14"/>
  <c r="L17" i="14"/>
  <c r="M17" i="14" s="1"/>
  <c r="K17" i="14"/>
  <c r="I17" i="14"/>
  <c r="J17" i="14" s="1"/>
  <c r="H17" i="14"/>
  <c r="F17" i="14"/>
  <c r="G17" i="14" s="1"/>
  <c r="E17" i="14"/>
  <c r="C17" i="14"/>
  <c r="D17" i="14" s="1"/>
  <c r="B17" i="14"/>
  <c r="A17" i="14"/>
  <c r="Q16" i="14"/>
  <c r="O16" i="14"/>
  <c r="P16" i="14" s="1"/>
  <c r="N16" i="14"/>
  <c r="K16" i="14"/>
  <c r="I16" i="14"/>
  <c r="J16" i="14" s="1"/>
  <c r="H16" i="14"/>
  <c r="E16" i="14"/>
  <c r="C16" i="14"/>
  <c r="D16" i="14" s="1"/>
  <c r="B16" i="14"/>
  <c r="A16" i="14"/>
  <c r="L16" i="14" s="1"/>
  <c r="M16" i="14" s="1"/>
  <c r="Q15" i="14"/>
  <c r="O15" i="14"/>
  <c r="P15" i="14" s="1"/>
  <c r="N15" i="14"/>
  <c r="L15" i="14"/>
  <c r="M15" i="14" s="1"/>
  <c r="K15" i="14"/>
  <c r="H15" i="14"/>
  <c r="E15" i="14"/>
  <c r="C15" i="14"/>
  <c r="B15" i="14"/>
  <c r="A15" i="14"/>
  <c r="Q14" i="14"/>
  <c r="O14" i="14"/>
  <c r="P14" i="14" s="1"/>
  <c r="N14" i="14"/>
  <c r="L14" i="14"/>
  <c r="K14" i="14"/>
  <c r="H14" i="14"/>
  <c r="F14" i="14"/>
  <c r="G14" i="14" s="1"/>
  <c r="E14" i="14"/>
  <c r="C14" i="14"/>
  <c r="D14" i="14" s="1"/>
  <c r="B14" i="14"/>
  <c r="A14" i="14"/>
  <c r="R13" i="14"/>
  <c r="S13" i="14" s="1"/>
  <c r="Q13" i="14"/>
  <c r="O13" i="14"/>
  <c r="N13" i="14"/>
  <c r="P13" i="14" s="1"/>
  <c r="L13" i="14"/>
  <c r="M13" i="14" s="1"/>
  <c r="K13" i="14"/>
  <c r="H13" i="14"/>
  <c r="E13" i="14"/>
  <c r="C13" i="14"/>
  <c r="B13" i="14"/>
  <c r="D13" i="14" s="1"/>
  <c r="A13" i="14"/>
  <c r="Q12" i="14"/>
  <c r="O12" i="14"/>
  <c r="N12" i="14"/>
  <c r="L12" i="14"/>
  <c r="K12" i="14"/>
  <c r="I12" i="14"/>
  <c r="J12" i="14" s="1"/>
  <c r="H12" i="14"/>
  <c r="F12" i="14"/>
  <c r="G12" i="14" s="1"/>
  <c r="E12" i="14"/>
  <c r="C12" i="14"/>
  <c r="D12" i="14" s="1"/>
  <c r="B12" i="14"/>
  <c r="A12" i="14"/>
  <c r="R12" i="14" s="1"/>
  <c r="S12" i="14" s="1"/>
  <c r="R11" i="14"/>
  <c r="S11" i="14" s="1"/>
  <c r="Q11" i="14"/>
  <c r="O11" i="14"/>
  <c r="P11" i="14" s="1"/>
  <c r="N11" i="14"/>
  <c r="L11" i="14"/>
  <c r="M11" i="14" s="1"/>
  <c r="K11" i="14"/>
  <c r="I11" i="14"/>
  <c r="H11" i="14"/>
  <c r="J11" i="14" s="1"/>
  <c r="F11" i="14"/>
  <c r="G11" i="14" s="1"/>
  <c r="E11" i="14"/>
  <c r="C11" i="14"/>
  <c r="D11" i="14" s="1"/>
  <c r="B11" i="14"/>
  <c r="A11" i="14"/>
  <c r="Q10" i="14"/>
  <c r="O10" i="14"/>
  <c r="N10" i="14"/>
  <c r="K10" i="14"/>
  <c r="I10" i="14"/>
  <c r="J10" i="14" s="1"/>
  <c r="H10" i="14"/>
  <c r="F10" i="14"/>
  <c r="G10" i="14" s="1"/>
  <c r="E10" i="14"/>
  <c r="C10" i="14"/>
  <c r="D10" i="14" s="1"/>
  <c r="B10" i="14"/>
  <c r="A10" i="14"/>
  <c r="Q9" i="14"/>
  <c r="N9" i="14"/>
  <c r="L9" i="14"/>
  <c r="M9" i="14" s="1"/>
  <c r="K9" i="14"/>
  <c r="H9" i="14"/>
  <c r="F9" i="14"/>
  <c r="G9" i="14" s="1"/>
  <c r="E9" i="14"/>
  <c r="B9" i="14"/>
  <c r="A9" i="14"/>
  <c r="O9" i="14" s="1"/>
  <c r="P9" i="14" s="1"/>
  <c r="Q8" i="14"/>
  <c r="P8" i="14"/>
  <c r="N8" i="14"/>
  <c r="L8" i="14"/>
  <c r="K8" i="14"/>
  <c r="H8" i="14"/>
  <c r="E8" i="14"/>
  <c r="C8" i="14"/>
  <c r="B8" i="14"/>
  <c r="A8" i="14"/>
  <c r="O8" i="14" s="1"/>
  <c r="Q7" i="14"/>
  <c r="N7" i="14"/>
  <c r="K7" i="14"/>
  <c r="H7" i="14"/>
  <c r="E7" i="14"/>
  <c r="B7" i="14"/>
  <c r="A7" i="14"/>
  <c r="R6" i="14"/>
  <c r="S6" i="14" s="1"/>
  <c r="Q6" i="14"/>
  <c r="O6" i="14"/>
  <c r="P6" i="14" s="1"/>
  <c r="N6" i="14"/>
  <c r="L6" i="14"/>
  <c r="K6" i="14"/>
  <c r="I6" i="14"/>
  <c r="H6" i="14"/>
  <c r="J6" i="14" s="1"/>
  <c r="E6" i="14"/>
  <c r="B6" i="14"/>
  <c r="A6" i="14"/>
  <c r="S5" i="14"/>
  <c r="R5" i="14"/>
  <c r="Q5" i="14"/>
  <c r="O5" i="14"/>
  <c r="P5" i="14" s="1"/>
  <c r="N5" i="14"/>
  <c r="L5" i="14"/>
  <c r="M5" i="14" s="1"/>
  <c r="K5" i="14"/>
  <c r="I5" i="14"/>
  <c r="H5" i="14"/>
  <c r="F5" i="14"/>
  <c r="G5" i="14" s="1"/>
  <c r="E5" i="14"/>
  <c r="B5" i="14"/>
  <c r="A5" i="14"/>
  <c r="C5" i="14" s="1"/>
  <c r="D5" i="14" s="1"/>
  <c r="Q4" i="14"/>
  <c r="N4" i="14"/>
  <c r="L4" i="14"/>
  <c r="M4" i="14" s="1"/>
  <c r="K4" i="14"/>
  <c r="H4" i="14"/>
  <c r="E4" i="14"/>
  <c r="B4" i="14"/>
  <c r="A4" i="14"/>
  <c r="Q3" i="14"/>
  <c r="N3" i="14"/>
  <c r="L3" i="14"/>
  <c r="K3" i="14"/>
  <c r="H3" i="14"/>
  <c r="F3" i="14"/>
  <c r="G3" i="14" s="1"/>
  <c r="E3" i="14"/>
  <c r="C3" i="14"/>
  <c r="D3" i="14" s="1"/>
  <c r="B3" i="14"/>
  <c r="A3" i="14"/>
  <c r="R2" i="14"/>
  <c r="S2" i="14" s="1"/>
  <c r="Q2" i="14"/>
  <c r="O2" i="14"/>
  <c r="P2" i="14" s="1"/>
  <c r="N2" i="14"/>
  <c r="L2" i="14"/>
  <c r="M2" i="14" s="1"/>
  <c r="K2" i="14"/>
  <c r="I2" i="14"/>
  <c r="J2" i="14" s="1"/>
  <c r="H2" i="14"/>
  <c r="F2" i="14"/>
  <c r="G2" i="14" s="1"/>
  <c r="E2" i="14"/>
  <c r="C2" i="14"/>
  <c r="D2" i="14" s="1"/>
  <c r="B2" i="14"/>
  <c r="A2" i="14"/>
  <c r="W12" i="7"/>
  <c r="W11" i="7"/>
  <c r="S60" i="14" l="1"/>
  <c r="T2" i="14"/>
  <c r="U2" i="14" s="1"/>
  <c r="S27" i="14"/>
  <c r="T11" i="14"/>
  <c r="U11" i="14" s="1"/>
  <c r="I47" i="14"/>
  <c r="J47" i="14" s="1"/>
  <c r="P49" i="14"/>
  <c r="F41" i="14"/>
  <c r="G41" i="14" s="1"/>
  <c r="L42" i="14"/>
  <c r="M42" i="14" s="1"/>
  <c r="F50" i="14"/>
  <c r="G50" i="14" s="1"/>
  <c r="C41" i="14"/>
  <c r="D41" i="14" s="1"/>
  <c r="S44" i="14"/>
  <c r="F49" i="14"/>
  <c r="G49" i="14" s="1"/>
  <c r="L45" i="14"/>
  <c r="P48" i="14"/>
  <c r="M47" i="14"/>
  <c r="O40" i="14"/>
  <c r="P40" i="14" s="1"/>
  <c r="O41" i="14"/>
  <c r="P41" i="14" s="1"/>
  <c r="O50" i="14"/>
  <c r="P50" i="14" s="1"/>
  <c r="P42" i="14"/>
  <c r="L48" i="14"/>
  <c r="M48" i="14" s="1"/>
  <c r="L41" i="14"/>
  <c r="M41" i="14" s="1"/>
  <c r="L44" i="14"/>
  <c r="M44" i="14" s="1"/>
  <c r="F40" i="14"/>
  <c r="G40" i="14" s="1"/>
  <c r="I40" i="14"/>
  <c r="J40" i="14" s="1"/>
  <c r="O44" i="14"/>
  <c r="P44" i="14" s="1"/>
  <c r="R41" i="14"/>
  <c r="S41" i="14" s="1"/>
  <c r="C44" i="14"/>
  <c r="D44" i="14" s="1"/>
  <c r="I50" i="14"/>
  <c r="J50" i="14" s="1"/>
  <c r="R45" i="14"/>
  <c r="S45" i="14" s="1"/>
  <c r="F44" i="14"/>
  <c r="G44" i="14" s="1"/>
  <c r="I44" i="14"/>
  <c r="J44" i="14" s="1"/>
  <c r="C40" i="14"/>
  <c r="D40" i="14" s="1"/>
  <c r="R40" i="14"/>
  <c r="S40" i="14" s="1"/>
  <c r="F42" i="14"/>
  <c r="G42" i="14" s="1"/>
  <c r="I45" i="14"/>
  <c r="J45" i="14" s="1"/>
  <c r="R50" i="14"/>
  <c r="S50" i="14" s="1"/>
  <c r="C50" i="14"/>
  <c r="D50" i="14" s="1"/>
  <c r="I18" i="14"/>
  <c r="J18" i="14" s="1"/>
  <c r="R18" i="14"/>
  <c r="S18" i="14" s="1"/>
  <c r="L18" i="14"/>
  <c r="M18" i="14" s="1"/>
  <c r="O19" i="14"/>
  <c r="P19" i="14" s="1"/>
  <c r="G22" i="14"/>
  <c r="D27" i="14"/>
  <c r="O7" i="14"/>
  <c r="P7" i="14" s="1"/>
  <c r="F7" i="14"/>
  <c r="G7" i="14" s="1"/>
  <c r="R7" i="14"/>
  <c r="S7" i="14" s="1"/>
  <c r="C7" i="14"/>
  <c r="D7" i="14" s="1"/>
  <c r="O18" i="14"/>
  <c r="P18" i="14" s="1"/>
  <c r="I33" i="14"/>
  <c r="J33" i="14" s="1"/>
  <c r="R33" i="14"/>
  <c r="S33" i="14" s="1"/>
  <c r="F33" i="14"/>
  <c r="G33" i="14" s="1"/>
  <c r="C33" i="14"/>
  <c r="D33" i="14" s="1"/>
  <c r="L33" i="14"/>
  <c r="M33" i="14" s="1"/>
  <c r="M3" i="14"/>
  <c r="M6" i="14"/>
  <c r="P12" i="14"/>
  <c r="I7" i="14"/>
  <c r="J7" i="14" s="1"/>
  <c r="C18" i="14"/>
  <c r="D18" i="14" s="1"/>
  <c r="I53" i="14"/>
  <c r="J53" i="14" s="1"/>
  <c r="R53" i="14"/>
  <c r="S53" i="14" s="1"/>
  <c r="F53" i="14"/>
  <c r="G53" i="14" s="1"/>
  <c r="L53" i="14"/>
  <c r="M53" i="14" s="1"/>
  <c r="C28" i="14"/>
  <c r="D28" i="14" s="1"/>
  <c r="O28" i="14"/>
  <c r="P28" i="14" s="1"/>
  <c r="L28" i="14"/>
  <c r="M28" i="14" s="1"/>
  <c r="R28" i="14"/>
  <c r="S28" i="14" s="1"/>
  <c r="F35" i="14"/>
  <c r="G35" i="14" s="1"/>
  <c r="R35" i="14"/>
  <c r="S35" i="14" s="1"/>
  <c r="O35" i="14"/>
  <c r="P35" i="14" s="1"/>
  <c r="C35" i="14"/>
  <c r="D35" i="14" s="1"/>
  <c r="L35" i="14"/>
  <c r="M35" i="14" s="1"/>
  <c r="F46" i="14"/>
  <c r="G46" i="14" s="1"/>
  <c r="O46" i="14"/>
  <c r="P46" i="14" s="1"/>
  <c r="R46" i="14"/>
  <c r="S46" i="14" s="1"/>
  <c r="C46" i="14"/>
  <c r="D46" i="14" s="1"/>
  <c r="L46" i="14"/>
  <c r="M46" i="14" s="1"/>
  <c r="I46" i="14"/>
  <c r="J46" i="14" s="1"/>
  <c r="J5" i="14"/>
  <c r="T5" i="14" s="1"/>
  <c r="U5" i="14" s="1"/>
  <c r="D8" i="14"/>
  <c r="D15" i="14"/>
  <c r="F18" i="14"/>
  <c r="G18" i="14" s="1"/>
  <c r="J30" i="14"/>
  <c r="T30" i="14" s="1"/>
  <c r="U30" i="14" s="1"/>
  <c r="F36" i="14"/>
  <c r="G36" i="14" s="1"/>
  <c r="O36" i="14"/>
  <c r="P36" i="14" s="1"/>
  <c r="R36" i="14"/>
  <c r="S36" i="14" s="1"/>
  <c r="L36" i="14"/>
  <c r="M36" i="14" s="1"/>
  <c r="I36" i="14"/>
  <c r="J36" i="14" s="1"/>
  <c r="O47" i="14"/>
  <c r="P47" i="14" s="1"/>
  <c r="F47" i="14"/>
  <c r="G47" i="14" s="1"/>
  <c r="C47" i="14"/>
  <c r="D47" i="14" s="1"/>
  <c r="R47" i="14"/>
  <c r="S47" i="14" s="1"/>
  <c r="S21" i="14"/>
  <c r="T21" i="14" s="1"/>
  <c r="U21" i="14" s="1"/>
  <c r="F25" i="14"/>
  <c r="G25" i="14" s="1"/>
  <c r="I25" i="14"/>
  <c r="J25" i="14" s="1"/>
  <c r="R25" i="14"/>
  <c r="S25" i="14" s="1"/>
  <c r="T25" i="14" s="1"/>
  <c r="U25" i="14" s="1"/>
  <c r="L25" i="14"/>
  <c r="M25" i="14" s="1"/>
  <c r="O37" i="14"/>
  <c r="P37" i="14" s="1"/>
  <c r="R37" i="14"/>
  <c r="S37" i="14" s="1"/>
  <c r="F37" i="14"/>
  <c r="G37" i="14" s="1"/>
  <c r="C37" i="14"/>
  <c r="D37" i="14" s="1"/>
  <c r="L37" i="14"/>
  <c r="M37" i="14" s="1"/>
  <c r="C53" i="14"/>
  <c r="D53" i="14" s="1"/>
  <c r="P54" i="14"/>
  <c r="M14" i="14"/>
  <c r="F28" i="14"/>
  <c r="G28" i="14" s="1"/>
  <c r="C36" i="14"/>
  <c r="D36" i="14" s="1"/>
  <c r="C39" i="14"/>
  <c r="D39" i="14" s="1"/>
  <c r="L39" i="14"/>
  <c r="M39" i="14" s="1"/>
  <c r="O39" i="14"/>
  <c r="P39" i="14" s="1"/>
  <c r="I39" i="14"/>
  <c r="J39" i="14" s="1"/>
  <c r="F39" i="14"/>
  <c r="G39" i="14" s="1"/>
  <c r="C48" i="14"/>
  <c r="D48" i="14" s="1"/>
  <c r="R48" i="14"/>
  <c r="S48" i="14" s="1"/>
  <c r="I48" i="14"/>
  <c r="J48" i="14" s="1"/>
  <c r="C19" i="14"/>
  <c r="D19" i="14" s="1"/>
  <c r="I19" i="14"/>
  <c r="J19" i="14" s="1"/>
  <c r="L19" i="14"/>
  <c r="M19" i="14" s="1"/>
  <c r="L7" i="14"/>
  <c r="M7" i="14" s="1"/>
  <c r="C9" i="14"/>
  <c r="D9" i="14" s="1"/>
  <c r="R9" i="14"/>
  <c r="S9" i="14" s="1"/>
  <c r="I9" i="14"/>
  <c r="J9" i="14" s="1"/>
  <c r="R4" i="14"/>
  <c r="S4" i="14" s="1"/>
  <c r="O4" i="14"/>
  <c r="P4" i="14" s="1"/>
  <c r="C4" i="14"/>
  <c r="D4" i="14" s="1"/>
  <c r="I4" i="14"/>
  <c r="J4" i="14" s="1"/>
  <c r="F4" i="14"/>
  <c r="G4" i="14" s="1"/>
  <c r="O33" i="14"/>
  <c r="P33" i="14" s="1"/>
  <c r="I35" i="14"/>
  <c r="J35" i="14" s="1"/>
  <c r="I42" i="14"/>
  <c r="J42" i="14" s="1"/>
  <c r="R42" i="14"/>
  <c r="S42" i="14" s="1"/>
  <c r="C42" i="14"/>
  <c r="D42" i="14" s="1"/>
  <c r="I43" i="14"/>
  <c r="J43" i="14" s="1"/>
  <c r="R43" i="14"/>
  <c r="S43" i="14" s="1"/>
  <c r="F43" i="14"/>
  <c r="G43" i="14" s="1"/>
  <c r="O43" i="14"/>
  <c r="P43" i="14" s="1"/>
  <c r="C43" i="14"/>
  <c r="D43" i="14" s="1"/>
  <c r="L43" i="14"/>
  <c r="M43" i="14" s="1"/>
  <c r="C49" i="14"/>
  <c r="D49" i="14" s="1"/>
  <c r="L49" i="14"/>
  <c r="M49" i="14" s="1"/>
  <c r="I49" i="14"/>
  <c r="J49" i="14" s="1"/>
  <c r="R49" i="14"/>
  <c r="S49" i="14" s="1"/>
  <c r="J57" i="14"/>
  <c r="M8" i="14"/>
  <c r="M12" i="14"/>
  <c r="T12" i="14" s="1"/>
  <c r="U12" i="14" s="1"/>
  <c r="I32" i="14"/>
  <c r="J32" i="14" s="1"/>
  <c r="R32" i="14"/>
  <c r="S32" i="14" s="1"/>
  <c r="F32" i="14"/>
  <c r="G32" i="14" s="1"/>
  <c r="C32" i="14"/>
  <c r="D32" i="14" s="1"/>
  <c r="F48" i="14"/>
  <c r="G48" i="14" s="1"/>
  <c r="C59" i="14"/>
  <c r="D59" i="14" s="1"/>
  <c r="L59" i="14"/>
  <c r="M59" i="14" s="1"/>
  <c r="I59" i="14"/>
  <c r="J59" i="14" s="1"/>
  <c r="R59" i="14"/>
  <c r="S59" i="14" s="1"/>
  <c r="F59" i="14"/>
  <c r="G59" i="14" s="1"/>
  <c r="R15" i="14"/>
  <c r="S15" i="14" s="1"/>
  <c r="F15" i="14"/>
  <c r="G15" i="14" s="1"/>
  <c r="O17" i="14"/>
  <c r="P17" i="14" s="1"/>
  <c r="T17" i="14" s="1"/>
  <c r="U17" i="14" s="1"/>
  <c r="R17" i="14"/>
  <c r="S17" i="14" s="1"/>
  <c r="J41" i="14"/>
  <c r="T41" i="14" s="1"/>
  <c r="U41" i="14" s="1"/>
  <c r="M45" i="14"/>
  <c r="J51" i="14"/>
  <c r="T51" i="14" s="1"/>
  <c r="U51" i="14" s="1"/>
  <c r="I52" i="14"/>
  <c r="J52" i="14" s="1"/>
  <c r="O52" i="14"/>
  <c r="P52" i="14" s="1"/>
  <c r="C52" i="14"/>
  <c r="D52" i="14" s="1"/>
  <c r="T52" i="14" s="1"/>
  <c r="U52" i="14" s="1"/>
  <c r="R54" i="14"/>
  <c r="S54" i="14" s="1"/>
  <c r="I54" i="14"/>
  <c r="J54" i="14" s="1"/>
  <c r="T54" i="14" s="1"/>
  <c r="U54" i="14" s="1"/>
  <c r="C58" i="14"/>
  <c r="D58" i="14" s="1"/>
  <c r="F58" i="14"/>
  <c r="G58" i="14" s="1"/>
  <c r="O58" i="14"/>
  <c r="P58" i="14" s="1"/>
  <c r="J55" i="14"/>
  <c r="I3" i="14"/>
  <c r="J3" i="14" s="1"/>
  <c r="O3" i="14"/>
  <c r="P3" i="14" s="1"/>
  <c r="R14" i="14"/>
  <c r="S14" i="14" s="1"/>
  <c r="I14" i="14"/>
  <c r="J14" i="14" s="1"/>
  <c r="T14" i="14" s="1"/>
  <c r="U14" i="14" s="1"/>
  <c r="S20" i="14"/>
  <c r="T20" i="14" s="1"/>
  <c r="U20" i="14" s="1"/>
  <c r="F26" i="14"/>
  <c r="G26" i="14" s="1"/>
  <c r="O26" i="14"/>
  <c r="P26" i="14" s="1"/>
  <c r="F6" i="14"/>
  <c r="G6" i="14" s="1"/>
  <c r="C6" i="14"/>
  <c r="D6" i="14" s="1"/>
  <c r="T6" i="14" s="1"/>
  <c r="U6" i="14" s="1"/>
  <c r="F8" i="14"/>
  <c r="G8" i="14" s="1"/>
  <c r="R8" i="14"/>
  <c r="S8" i="14" s="1"/>
  <c r="L10" i="14"/>
  <c r="M10" i="14" s="1"/>
  <c r="R10" i="14"/>
  <c r="S10" i="14" s="1"/>
  <c r="R24" i="14"/>
  <c r="S24" i="14" s="1"/>
  <c r="F24" i="14"/>
  <c r="G24" i="14" s="1"/>
  <c r="O24" i="14"/>
  <c r="P24" i="14" s="1"/>
  <c r="C24" i="14"/>
  <c r="D24" i="14" s="1"/>
  <c r="J27" i="14"/>
  <c r="P31" i="14"/>
  <c r="T31" i="14" s="1"/>
  <c r="U31" i="14" s="1"/>
  <c r="G60" i="14"/>
  <c r="T60" i="14" s="1"/>
  <c r="U60" i="14" s="1"/>
  <c r="R3" i="14"/>
  <c r="S3" i="14" s="1"/>
  <c r="I8" i="14"/>
  <c r="J8" i="14" s="1"/>
  <c r="P10" i="14"/>
  <c r="I13" i="14"/>
  <c r="J13" i="14" s="1"/>
  <c r="F13" i="14"/>
  <c r="G13" i="14" s="1"/>
  <c r="I15" i="14"/>
  <c r="J15" i="14" s="1"/>
  <c r="F16" i="14"/>
  <c r="G16" i="14" s="1"/>
  <c r="T16" i="14" s="1"/>
  <c r="U16" i="14" s="1"/>
  <c r="R16" i="14"/>
  <c r="S16" i="14" s="1"/>
  <c r="C38" i="14"/>
  <c r="D38" i="14" s="1"/>
  <c r="L38" i="14"/>
  <c r="M38" i="14" s="1"/>
  <c r="I38" i="14"/>
  <c r="J38" i="14" s="1"/>
  <c r="P55" i="14"/>
  <c r="O59" i="14"/>
  <c r="P59" i="14" s="1"/>
  <c r="O57" i="14"/>
  <c r="P57" i="14" s="1"/>
  <c r="F57" i="14"/>
  <c r="G57" i="14" s="1"/>
  <c r="C57" i="14"/>
  <c r="D57" i="14" s="1"/>
  <c r="J61" i="14"/>
  <c r="I23" i="14"/>
  <c r="J23" i="14" s="1"/>
  <c r="R23" i="14"/>
  <c r="S23" i="14" s="1"/>
  <c r="L23" i="14"/>
  <c r="M23" i="14" s="1"/>
  <c r="C29" i="14"/>
  <c r="D29" i="14" s="1"/>
  <c r="L29" i="14"/>
  <c r="M29" i="14" s="1"/>
  <c r="L34" i="14"/>
  <c r="M34" i="14" s="1"/>
  <c r="T34" i="14" s="1"/>
  <c r="U34" i="14" s="1"/>
  <c r="O29" i="14"/>
  <c r="P29" i="14" s="1"/>
  <c r="G45" i="14"/>
  <c r="F56" i="14"/>
  <c r="G56" i="14" s="1"/>
  <c r="O56" i="14"/>
  <c r="P56" i="14" s="1"/>
  <c r="L56" i="14"/>
  <c r="M56" i="14" s="1"/>
  <c r="J22" i="14"/>
  <c r="T22" i="14" s="1"/>
  <c r="U22" i="14" s="1"/>
  <c r="O23" i="14"/>
  <c r="P23" i="14" s="1"/>
  <c r="L27" i="14"/>
  <c r="M27" i="14" s="1"/>
  <c r="O34" i="14"/>
  <c r="P34" i="14" s="1"/>
  <c r="C45" i="14"/>
  <c r="D45" i="14" s="1"/>
  <c r="O45" i="14"/>
  <c r="P45" i="14" s="1"/>
  <c r="G55" i="14"/>
  <c r="C56" i="14"/>
  <c r="D56" i="14" s="1"/>
  <c r="P61" i="14"/>
  <c r="C67" i="12"/>
  <c r="B67" i="12" a="1"/>
  <c r="B67" i="12" s="1"/>
  <c r="C66" i="12"/>
  <c r="B66" i="12" a="1"/>
  <c r="B66" i="12" s="1"/>
  <c r="C65" i="12"/>
  <c r="B65" i="12" a="1"/>
  <c r="B65" i="12" s="1"/>
  <c r="C64" i="12"/>
  <c r="B64" i="12" a="1"/>
  <c r="B64" i="12" s="1"/>
  <c r="C63" i="12"/>
  <c r="B63" i="12" a="1"/>
  <c r="B63" i="12" s="1"/>
  <c r="D63" i="12" s="1"/>
  <c r="C62" i="12"/>
  <c r="B62" i="12" a="1"/>
  <c r="B62" i="12" s="1"/>
  <c r="D62" i="12" s="1"/>
  <c r="C61" i="12"/>
  <c r="B61" i="12" a="1"/>
  <c r="B61" i="12" s="1"/>
  <c r="D61" i="12" s="1"/>
  <c r="C60" i="12"/>
  <c r="B60" i="12" a="1"/>
  <c r="B60" i="12" s="1"/>
  <c r="D60" i="12" s="1"/>
  <c r="C59" i="12"/>
  <c r="B59" i="12" a="1"/>
  <c r="B59" i="12" s="1"/>
  <c r="D59" i="12" s="1"/>
  <c r="C58" i="12"/>
  <c r="B58" i="12" a="1"/>
  <c r="B58" i="12" s="1"/>
  <c r="D58" i="12" s="1"/>
  <c r="C57" i="12"/>
  <c r="B57" i="12" a="1"/>
  <c r="B57" i="12" s="1"/>
  <c r="D57" i="12" s="1"/>
  <c r="C56" i="12"/>
  <c r="B56" i="12" a="1"/>
  <c r="B56" i="12" s="1"/>
  <c r="D56" i="12" s="1"/>
  <c r="C55" i="12"/>
  <c r="B55" i="12" a="1"/>
  <c r="B55" i="12" s="1"/>
  <c r="D55" i="12" s="1"/>
  <c r="C54" i="12"/>
  <c r="B54" i="12" a="1"/>
  <c r="B54" i="12" s="1"/>
  <c r="D54" i="12" s="1"/>
  <c r="C53" i="12"/>
  <c r="B53" i="12" a="1"/>
  <c r="B53" i="12" s="1"/>
  <c r="D53" i="12" s="1"/>
  <c r="C52" i="12"/>
  <c r="B52" i="12" a="1"/>
  <c r="B52" i="12" s="1"/>
  <c r="D52" i="12" s="1"/>
  <c r="C51" i="12"/>
  <c r="B51" i="12" a="1"/>
  <c r="B51" i="12" s="1"/>
  <c r="D51" i="12" s="1"/>
  <c r="C50" i="12"/>
  <c r="B50" i="12" a="1"/>
  <c r="B50" i="12" s="1"/>
  <c r="D50" i="12" s="1"/>
  <c r="C49" i="12"/>
  <c r="B49" i="12" a="1"/>
  <c r="B49" i="12" s="1"/>
  <c r="C44" i="12"/>
  <c r="B44" i="12" a="1"/>
  <c r="B44" i="12" s="1"/>
  <c r="C43" i="12"/>
  <c r="B43" i="12" a="1"/>
  <c r="B43" i="12" s="1"/>
  <c r="C42" i="12"/>
  <c r="B42" i="12" a="1"/>
  <c r="B42" i="12" s="1"/>
  <c r="C41" i="12"/>
  <c r="B41" i="12" a="1"/>
  <c r="B41" i="12" s="1"/>
  <c r="C40" i="12"/>
  <c r="B40" i="12" a="1"/>
  <c r="B40" i="12" s="1"/>
  <c r="C39" i="12"/>
  <c r="B39" i="12" a="1"/>
  <c r="B39" i="12" s="1"/>
  <c r="C38" i="12"/>
  <c r="B38" i="12" a="1"/>
  <c r="B38" i="12" s="1"/>
  <c r="C37" i="12"/>
  <c r="B37" i="12" a="1"/>
  <c r="B37" i="12" s="1"/>
  <c r="C36" i="12"/>
  <c r="B36" i="12" a="1"/>
  <c r="B36" i="12" s="1"/>
  <c r="C35" i="12"/>
  <c r="B35" i="12" a="1"/>
  <c r="B35" i="12" s="1"/>
  <c r="C34" i="12"/>
  <c r="B34" i="12" a="1"/>
  <c r="B34" i="12" s="1"/>
  <c r="C33" i="12"/>
  <c r="B33" i="12" a="1"/>
  <c r="B33" i="12" s="1"/>
  <c r="C32" i="12"/>
  <c r="B32" i="12" a="1"/>
  <c r="B32" i="12"/>
  <c r="C31" i="12"/>
  <c r="B31" i="12" a="1"/>
  <c r="B31" i="12" s="1"/>
  <c r="D31" i="12" s="1"/>
  <c r="C30" i="12"/>
  <c r="B30" i="12" a="1"/>
  <c r="B30" i="12" s="1"/>
  <c r="C29" i="12"/>
  <c r="B29" i="12" a="1"/>
  <c r="B29" i="12" s="1"/>
  <c r="C28" i="12"/>
  <c r="B28" i="12" a="1"/>
  <c r="B28" i="12" s="1"/>
  <c r="C27" i="12"/>
  <c r="B27" i="12" a="1"/>
  <c r="B27" i="12"/>
  <c r="C26" i="12"/>
  <c r="B26" i="12" a="1"/>
  <c r="B26" i="12" s="1"/>
  <c r="C21" i="12"/>
  <c r="B21" i="12" a="1"/>
  <c r="B21" i="12" s="1"/>
  <c r="C20" i="12"/>
  <c r="B20" i="12" a="1"/>
  <c r="B20" i="12" s="1"/>
  <c r="D20" i="12" s="1"/>
  <c r="C19" i="12"/>
  <c r="B19" i="12" a="1"/>
  <c r="B19" i="12" s="1"/>
  <c r="C18" i="12"/>
  <c r="B18" i="12" a="1"/>
  <c r="B18" i="12" s="1"/>
  <c r="C17" i="12"/>
  <c r="B17" i="12" a="1"/>
  <c r="B17" i="12" s="1"/>
  <c r="C16" i="12"/>
  <c r="B16" i="12" a="1"/>
  <c r="B16" i="12" s="1"/>
  <c r="D16" i="12" s="1"/>
  <c r="C15" i="12"/>
  <c r="B15" i="12" a="1"/>
  <c r="B15" i="12" s="1"/>
  <c r="D15" i="12" s="1"/>
  <c r="C14" i="12"/>
  <c r="B14" i="12" a="1"/>
  <c r="B14" i="12" s="1"/>
  <c r="C13" i="12"/>
  <c r="B13" i="12" a="1"/>
  <c r="B13" i="12" s="1"/>
  <c r="C12" i="12"/>
  <c r="B12" i="12" a="1"/>
  <c r="B12" i="12" s="1"/>
  <c r="C11" i="12"/>
  <c r="B11" i="12" a="1"/>
  <c r="B11" i="12" s="1"/>
  <c r="D11" i="12" s="1"/>
  <c r="C10" i="12"/>
  <c r="B10" i="12" a="1"/>
  <c r="B10" i="12" s="1"/>
  <c r="D10" i="12" s="1"/>
  <c r="C9" i="12"/>
  <c r="B9" i="12" a="1"/>
  <c r="B9" i="12" s="1"/>
  <c r="C8" i="12"/>
  <c r="B8" i="12" a="1"/>
  <c r="B8" i="12" s="1"/>
  <c r="C7" i="12"/>
  <c r="B7" i="12" a="1"/>
  <c r="B7" i="12" s="1"/>
  <c r="C6" i="12"/>
  <c r="B6" i="12" a="1"/>
  <c r="B6" i="12" s="1"/>
  <c r="D6" i="12" s="1"/>
  <c r="C5" i="12"/>
  <c r="B5" i="12" a="1"/>
  <c r="B5" i="12" s="1"/>
  <c r="D5" i="12" s="1"/>
  <c r="C4" i="12"/>
  <c r="B4" i="12" a="1"/>
  <c r="B4" i="12" s="1"/>
  <c r="D4" i="12" s="1"/>
  <c r="C3" i="12"/>
  <c r="C22" i="12" s="1"/>
  <c r="B3" i="12" a="1"/>
  <c r="B3" i="12" s="1"/>
  <c r="C124" i="11"/>
  <c r="B124" i="11" a="1"/>
  <c r="B124" i="11" s="1"/>
  <c r="C123" i="11"/>
  <c r="B123" i="11" a="1"/>
  <c r="B123" i="11" s="1"/>
  <c r="C122" i="11"/>
  <c r="B122" i="11" a="1"/>
  <c r="B122" i="11" s="1"/>
  <c r="C121" i="11"/>
  <c r="B121" i="11" a="1"/>
  <c r="B121" i="11" s="1"/>
  <c r="C120" i="11"/>
  <c r="B120" i="11" a="1"/>
  <c r="B120" i="11" s="1"/>
  <c r="C119" i="11"/>
  <c r="B119" i="11" a="1"/>
  <c r="B119" i="11" s="1"/>
  <c r="C118" i="11"/>
  <c r="B118" i="11" a="1"/>
  <c r="B118" i="11" s="1"/>
  <c r="C117" i="11"/>
  <c r="B117" i="11" a="1"/>
  <c r="B117" i="11" s="1"/>
  <c r="C116" i="11"/>
  <c r="B116" i="11" a="1"/>
  <c r="B116" i="11" s="1"/>
  <c r="C115" i="11"/>
  <c r="B115" i="11" a="1"/>
  <c r="B115" i="11" s="1"/>
  <c r="C114" i="11"/>
  <c r="B114" i="11" a="1"/>
  <c r="B114" i="11" s="1"/>
  <c r="C113" i="11"/>
  <c r="B113" i="11" a="1"/>
  <c r="B113" i="11" s="1"/>
  <c r="C112" i="11"/>
  <c r="B112" i="11" a="1"/>
  <c r="B112" i="11" s="1"/>
  <c r="C111" i="11"/>
  <c r="B111" i="11" a="1"/>
  <c r="B111" i="11" s="1"/>
  <c r="C110" i="11"/>
  <c r="B110" i="11" a="1"/>
  <c r="B110" i="11" s="1"/>
  <c r="C109" i="11"/>
  <c r="B109" i="11" a="1"/>
  <c r="B109" i="11" s="1"/>
  <c r="C108" i="11"/>
  <c r="B108" i="11" a="1"/>
  <c r="B108" i="11" s="1"/>
  <c r="C107" i="11"/>
  <c r="B107" i="11" a="1"/>
  <c r="B107" i="11" s="1"/>
  <c r="C106" i="11"/>
  <c r="B106" i="11" a="1"/>
  <c r="B106" i="11" s="1"/>
  <c r="C105" i="11"/>
  <c r="B105" i="11" a="1"/>
  <c r="B105" i="11" s="1"/>
  <c r="D105" i="11" s="1"/>
  <c r="C104" i="11"/>
  <c r="B104" i="11" a="1"/>
  <c r="B104" i="11" s="1"/>
  <c r="C103" i="11"/>
  <c r="B103" i="11" a="1"/>
  <c r="B103" i="11" s="1"/>
  <c r="C102" i="11"/>
  <c r="B102" i="11" a="1"/>
  <c r="B102" i="11" s="1"/>
  <c r="C101" i="11"/>
  <c r="B101" i="11" a="1"/>
  <c r="B101" i="11" s="1"/>
  <c r="D101" i="11" s="1"/>
  <c r="C100" i="11"/>
  <c r="B100" i="11" a="1"/>
  <c r="B100" i="11" s="1"/>
  <c r="D100" i="11" s="1"/>
  <c r="C99" i="11"/>
  <c r="B99" i="11" a="1"/>
  <c r="B99" i="11" s="1"/>
  <c r="D99" i="11" s="1"/>
  <c r="C98" i="11"/>
  <c r="B98" i="11" a="1"/>
  <c r="B98" i="11" s="1"/>
  <c r="D98" i="11" s="1"/>
  <c r="C97" i="11"/>
  <c r="B97" i="11" a="1"/>
  <c r="B97" i="11" s="1"/>
  <c r="D97" i="11" s="1"/>
  <c r="C96" i="11"/>
  <c r="B96" i="11" a="1"/>
  <c r="B96" i="11" s="1"/>
  <c r="D96" i="11" s="1"/>
  <c r="C95" i="11"/>
  <c r="B95" i="11" a="1"/>
  <c r="B95" i="11" s="1"/>
  <c r="D95" i="11" s="1"/>
  <c r="C94" i="11"/>
  <c r="B94" i="11" a="1"/>
  <c r="B94" i="11" s="1"/>
  <c r="D94" i="11" s="1"/>
  <c r="C93" i="11"/>
  <c r="B93" i="11" a="1"/>
  <c r="B93" i="11" s="1"/>
  <c r="D93" i="11" s="1"/>
  <c r="C92" i="11"/>
  <c r="B92" i="11" a="1"/>
  <c r="B92" i="11" s="1"/>
  <c r="D92" i="11" s="1"/>
  <c r="C91" i="11"/>
  <c r="D91" i="11" s="1"/>
  <c r="B91" i="11" a="1"/>
  <c r="B91" i="11" s="1"/>
  <c r="C90" i="11"/>
  <c r="B90" i="11" a="1"/>
  <c r="B90" i="11" s="1"/>
  <c r="C89" i="11"/>
  <c r="B89" i="11" a="1"/>
  <c r="B89" i="11" s="1"/>
  <c r="C88" i="11"/>
  <c r="B88" i="11" a="1"/>
  <c r="B88" i="11" s="1"/>
  <c r="C87" i="11"/>
  <c r="B87" i="11" a="1"/>
  <c r="B87" i="11" s="1"/>
  <c r="C82" i="11"/>
  <c r="B82" i="11" a="1"/>
  <c r="B82" i="11" s="1"/>
  <c r="C81" i="11"/>
  <c r="B81" i="11" a="1"/>
  <c r="B81" i="11" s="1"/>
  <c r="C80" i="11"/>
  <c r="B80" i="11" a="1"/>
  <c r="B80" i="11" s="1"/>
  <c r="C79" i="11"/>
  <c r="B79" i="11" a="1"/>
  <c r="B79" i="11" s="1"/>
  <c r="C78" i="11"/>
  <c r="B78" i="11" a="1"/>
  <c r="B78" i="11" s="1"/>
  <c r="C77" i="11"/>
  <c r="B77" i="11" a="1"/>
  <c r="B77" i="11" s="1"/>
  <c r="C76" i="11"/>
  <c r="B76" i="11" a="1"/>
  <c r="B76" i="11" s="1"/>
  <c r="C75" i="11"/>
  <c r="B75" i="11" a="1"/>
  <c r="B75" i="11" s="1"/>
  <c r="C74" i="11"/>
  <c r="B74" i="11" a="1"/>
  <c r="B74" i="11" s="1"/>
  <c r="C73" i="11"/>
  <c r="B73" i="11" a="1"/>
  <c r="B73" i="11" s="1"/>
  <c r="C72" i="11"/>
  <c r="B72" i="11" a="1"/>
  <c r="B72" i="11" s="1"/>
  <c r="C71" i="11"/>
  <c r="B71" i="11" a="1"/>
  <c r="B71" i="11" s="1"/>
  <c r="C70" i="11"/>
  <c r="B70" i="11" a="1"/>
  <c r="B70" i="11" s="1"/>
  <c r="C69" i="11"/>
  <c r="B69" i="11" a="1"/>
  <c r="B69" i="11" s="1"/>
  <c r="C68" i="11"/>
  <c r="B68" i="11" a="1"/>
  <c r="B68" i="11" s="1"/>
  <c r="C67" i="11"/>
  <c r="B67" i="11" a="1"/>
  <c r="B67" i="11" s="1"/>
  <c r="C66" i="11"/>
  <c r="B66" i="11" a="1"/>
  <c r="B66" i="11" s="1"/>
  <c r="C65" i="11"/>
  <c r="B65" i="11" a="1"/>
  <c r="B65" i="11" s="1"/>
  <c r="C64" i="11"/>
  <c r="B64" i="11" a="1"/>
  <c r="B64" i="11" s="1"/>
  <c r="C63" i="11"/>
  <c r="B63" i="11" a="1"/>
  <c r="B63" i="11" s="1"/>
  <c r="C62" i="11"/>
  <c r="B62" i="11" a="1"/>
  <c r="B62" i="11" s="1"/>
  <c r="C61" i="11"/>
  <c r="B61" i="11" a="1"/>
  <c r="B61" i="11" s="1"/>
  <c r="C60" i="11"/>
  <c r="B60" i="11" a="1"/>
  <c r="B60" i="11" s="1"/>
  <c r="D60" i="11" s="1"/>
  <c r="C59" i="11"/>
  <c r="B59" i="11" a="1"/>
  <c r="B59" i="11" s="1"/>
  <c r="D59" i="11" s="1"/>
  <c r="C58" i="11"/>
  <c r="B58" i="11" a="1"/>
  <c r="B58" i="11" s="1"/>
  <c r="C57" i="11"/>
  <c r="B57" i="11" a="1"/>
  <c r="B57" i="11" s="1"/>
  <c r="C56" i="11"/>
  <c r="B56" i="11" a="1"/>
  <c r="B56" i="11" s="1"/>
  <c r="D56" i="11" s="1"/>
  <c r="C55" i="11"/>
  <c r="B55" i="11" a="1"/>
  <c r="B55" i="11" s="1"/>
  <c r="C54" i="11"/>
  <c r="B54" i="11" a="1"/>
  <c r="B54" i="11" s="1"/>
  <c r="D54" i="11" s="1"/>
  <c r="C53" i="11"/>
  <c r="B53" i="11" a="1"/>
  <c r="B53" i="11" s="1"/>
  <c r="D53" i="11" s="1"/>
  <c r="C52" i="11"/>
  <c r="B52" i="11" a="1"/>
  <c r="B52" i="11" s="1"/>
  <c r="D52" i="11" s="1"/>
  <c r="C51" i="11"/>
  <c r="B51" i="11" a="1"/>
  <c r="B51" i="11" s="1"/>
  <c r="D51" i="11" s="1"/>
  <c r="C50" i="11"/>
  <c r="B50" i="11" a="1"/>
  <c r="B50" i="11" s="1"/>
  <c r="C49" i="11"/>
  <c r="D49" i="11" s="1"/>
  <c r="B49" i="11" a="1"/>
  <c r="B49" i="11" s="1"/>
  <c r="C48" i="11"/>
  <c r="B48" i="11" a="1"/>
  <c r="B48" i="11" s="1"/>
  <c r="D48" i="11" s="1"/>
  <c r="C47" i="11"/>
  <c r="B47" i="11" a="1"/>
  <c r="B47" i="11" s="1"/>
  <c r="C46" i="11"/>
  <c r="B46" i="11" a="1"/>
  <c r="B46" i="11" s="1"/>
  <c r="D46" i="11" s="1"/>
  <c r="C45" i="11"/>
  <c r="B45" i="11" a="1"/>
  <c r="B45" i="11" s="1"/>
  <c r="C40" i="11"/>
  <c r="B40" i="11" a="1"/>
  <c r="B40" i="11" s="1"/>
  <c r="C39" i="11"/>
  <c r="B39" i="11" a="1"/>
  <c r="B39" i="11" s="1"/>
  <c r="C38" i="11"/>
  <c r="B38" i="11" a="1"/>
  <c r="B38" i="11" s="1"/>
  <c r="C37" i="11"/>
  <c r="B37" i="11" a="1"/>
  <c r="B37" i="11" s="1"/>
  <c r="C36" i="11"/>
  <c r="B36" i="11" a="1"/>
  <c r="B36" i="11" s="1"/>
  <c r="C35" i="11"/>
  <c r="B35" i="11" a="1"/>
  <c r="B35" i="11" s="1"/>
  <c r="C34" i="11"/>
  <c r="B34" i="11" a="1"/>
  <c r="B34" i="11" s="1"/>
  <c r="C33" i="11"/>
  <c r="B33" i="11" a="1"/>
  <c r="B33" i="11" s="1"/>
  <c r="C32" i="11"/>
  <c r="B32" i="11" a="1"/>
  <c r="B32" i="11" s="1"/>
  <c r="C31" i="11"/>
  <c r="B31" i="11" a="1"/>
  <c r="B31" i="11" s="1"/>
  <c r="C30" i="11"/>
  <c r="B30" i="11" a="1"/>
  <c r="B30" i="11" s="1"/>
  <c r="C29" i="11"/>
  <c r="B29" i="11" a="1"/>
  <c r="B29" i="11" s="1"/>
  <c r="C28" i="11"/>
  <c r="B28" i="11" a="1"/>
  <c r="B28" i="11" s="1"/>
  <c r="C27" i="11"/>
  <c r="B27" i="11" a="1"/>
  <c r="B27" i="11" s="1"/>
  <c r="C26" i="11"/>
  <c r="B26" i="11" a="1"/>
  <c r="B26" i="11" s="1"/>
  <c r="C25" i="11"/>
  <c r="B25" i="11" a="1"/>
  <c r="B25" i="11"/>
  <c r="C24" i="11"/>
  <c r="B24" i="11" a="1"/>
  <c r="B24" i="11" s="1"/>
  <c r="D24" i="11" s="1"/>
  <c r="C23" i="11"/>
  <c r="B23" i="11" a="1"/>
  <c r="B23" i="11" s="1"/>
  <c r="C22" i="11"/>
  <c r="B22" i="11" a="1"/>
  <c r="B22" i="11" s="1"/>
  <c r="C21" i="11"/>
  <c r="B21" i="11" a="1"/>
  <c r="B21" i="11" s="1"/>
  <c r="C20" i="11"/>
  <c r="B20" i="11" a="1"/>
  <c r="B20" i="11" s="1"/>
  <c r="C19" i="11"/>
  <c r="B19" i="11" a="1"/>
  <c r="B19" i="11" s="1"/>
  <c r="C18" i="11"/>
  <c r="B18" i="11" a="1"/>
  <c r="B18" i="11" s="1"/>
  <c r="C17" i="11"/>
  <c r="B17" i="11" a="1"/>
  <c r="B17" i="11" s="1"/>
  <c r="C16" i="11"/>
  <c r="B16" i="11" a="1"/>
  <c r="B16" i="11" s="1"/>
  <c r="C15" i="11"/>
  <c r="B15" i="11" a="1"/>
  <c r="B15" i="11" s="1"/>
  <c r="C14" i="11"/>
  <c r="B14" i="11" a="1"/>
  <c r="B14" i="11" s="1"/>
  <c r="C13" i="11"/>
  <c r="B13" i="11" a="1"/>
  <c r="B13" i="11" s="1"/>
  <c r="C12" i="11"/>
  <c r="B12" i="11" a="1"/>
  <c r="B12" i="11" s="1"/>
  <c r="C11" i="11"/>
  <c r="B11" i="11" a="1"/>
  <c r="B11" i="11" s="1"/>
  <c r="C10" i="11"/>
  <c r="B10" i="11" a="1"/>
  <c r="B10" i="11" s="1"/>
  <c r="C9" i="11"/>
  <c r="B9" i="11" a="1"/>
  <c r="B9" i="11" s="1"/>
  <c r="C8" i="11"/>
  <c r="B8" i="11" a="1"/>
  <c r="B8" i="11" s="1"/>
  <c r="C7" i="11"/>
  <c r="D7" i="11" s="1"/>
  <c r="B7" i="11" a="1"/>
  <c r="B7" i="11" s="1"/>
  <c r="C6" i="11"/>
  <c r="B6" i="11" a="1"/>
  <c r="B6" i="11" s="1"/>
  <c r="C5" i="11"/>
  <c r="B5" i="11" a="1"/>
  <c r="B5" i="11" s="1"/>
  <c r="C4" i="11"/>
  <c r="B4" i="11" a="1"/>
  <c r="B4" i="11" s="1"/>
  <c r="C3" i="11"/>
  <c r="B3" i="11" a="1"/>
  <c r="B3" i="11" s="1"/>
  <c r="C46" i="10"/>
  <c r="B46" i="10" a="1"/>
  <c r="B46" i="10" s="1"/>
  <c r="C45" i="10"/>
  <c r="B45" i="10" a="1"/>
  <c r="B45" i="10" s="1"/>
  <c r="C44" i="10"/>
  <c r="B44" i="10" a="1"/>
  <c r="B44" i="10" s="1"/>
  <c r="C43" i="10"/>
  <c r="B43" i="10" a="1"/>
  <c r="B43" i="10" s="1"/>
  <c r="C42" i="10"/>
  <c r="B42" i="10" a="1"/>
  <c r="B42" i="10" s="1"/>
  <c r="C41" i="10"/>
  <c r="B41" i="10" a="1"/>
  <c r="B41" i="10" s="1"/>
  <c r="C40" i="10"/>
  <c r="B40" i="10" a="1"/>
  <c r="B40" i="10" s="1"/>
  <c r="C39" i="10"/>
  <c r="B39" i="10" a="1"/>
  <c r="B39" i="10" s="1"/>
  <c r="C38" i="10"/>
  <c r="B38" i="10" a="1"/>
  <c r="B38" i="10" s="1"/>
  <c r="C37" i="10"/>
  <c r="D37" i="10" s="1"/>
  <c r="B37" i="10" a="1"/>
  <c r="B37" i="10" s="1"/>
  <c r="C36" i="10"/>
  <c r="B36" i="10" a="1"/>
  <c r="B36" i="10" s="1"/>
  <c r="C35" i="10"/>
  <c r="B35" i="10" a="1"/>
  <c r="B35" i="10" s="1"/>
  <c r="C30" i="10"/>
  <c r="B30" i="10" a="1"/>
  <c r="B30" i="10" s="1"/>
  <c r="C29" i="10"/>
  <c r="B29" i="10" a="1"/>
  <c r="B29" i="10" s="1"/>
  <c r="C28" i="10"/>
  <c r="B28" i="10" a="1"/>
  <c r="B28" i="10" s="1"/>
  <c r="C27" i="10"/>
  <c r="B27" i="10" a="1"/>
  <c r="B27" i="10" s="1"/>
  <c r="C26" i="10"/>
  <c r="B26" i="10" a="1"/>
  <c r="B26" i="10" s="1"/>
  <c r="C25" i="10"/>
  <c r="B25" i="10" a="1"/>
  <c r="B25" i="10" s="1"/>
  <c r="D25" i="10" s="1"/>
  <c r="C24" i="10"/>
  <c r="B24" i="10" a="1"/>
  <c r="B24" i="10" s="1"/>
  <c r="C23" i="10"/>
  <c r="B23" i="10" a="1"/>
  <c r="B23" i="10" s="1"/>
  <c r="C22" i="10"/>
  <c r="B22" i="10" a="1"/>
  <c r="B22" i="10" s="1"/>
  <c r="C21" i="10"/>
  <c r="B21" i="10" a="1"/>
  <c r="B21" i="10" s="1"/>
  <c r="C20" i="10"/>
  <c r="B20" i="10" a="1"/>
  <c r="B20" i="10" s="1"/>
  <c r="D20" i="10" s="1"/>
  <c r="C19" i="10"/>
  <c r="B19" i="10" a="1"/>
  <c r="B19" i="10" s="1"/>
  <c r="C14" i="10"/>
  <c r="B14" i="10" a="1"/>
  <c r="B14" i="10" s="1"/>
  <c r="C13" i="10"/>
  <c r="B13" i="10" a="1"/>
  <c r="B13" i="10" s="1"/>
  <c r="C12" i="10"/>
  <c r="B12" i="10" a="1"/>
  <c r="B12" i="10" s="1"/>
  <c r="C11" i="10"/>
  <c r="B11" i="10" a="1"/>
  <c r="B11" i="10" s="1"/>
  <c r="D11" i="10" s="1"/>
  <c r="C10" i="10"/>
  <c r="B10" i="10" a="1"/>
  <c r="B10" i="10" s="1"/>
  <c r="C9" i="10"/>
  <c r="B9" i="10" a="1"/>
  <c r="B9" i="10" s="1"/>
  <c r="C8" i="10"/>
  <c r="B8" i="10" a="1"/>
  <c r="B8" i="10" s="1"/>
  <c r="C7" i="10"/>
  <c r="B7" i="10" a="1"/>
  <c r="B7" i="10" s="1"/>
  <c r="C6" i="10"/>
  <c r="B6" i="10" a="1"/>
  <c r="B6" i="10" s="1"/>
  <c r="C5" i="10"/>
  <c r="D5" i="10" s="1"/>
  <c r="B5" i="10" a="1"/>
  <c r="B5" i="10" s="1"/>
  <c r="C4" i="10"/>
  <c r="B4" i="10" a="1"/>
  <c r="B4" i="10" s="1"/>
  <c r="C3" i="10"/>
  <c r="B3" i="10" a="1"/>
  <c r="B3" i="10" s="1"/>
  <c r="C46" i="9"/>
  <c r="B46" i="9" a="1"/>
  <c r="B46" i="9" s="1"/>
  <c r="C45" i="9"/>
  <c r="B45" i="9" a="1"/>
  <c r="B45" i="9" s="1"/>
  <c r="C44" i="9"/>
  <c r="B44" i="9" a="1"/>
  <c r="B44" i="9" s="1"/>
  <c r="C43" i="9"/>
  <c r="B43" i="9" a="1"/>
  <c r="B43" i="9" s="1"/>
  <c r="C42" i="9"/>
  <c r="B42" i="9" a="1"/>
  <c r="B42" i="9" s="1"/>
  <c r="C41" i="9"/>
  <c r="B41" i="9" a="1"/>
  <c r="B41" i="9" s="1"/>
  <c r="C40" i="9"/>
  <c r="B40" i="9" a="1"/>
  <c r="B40" i="9" s="1"/>
  <c r="C39" i="9"/>
  <c r="B39" i="9" a="1"/>
  <c r="B39" i="9" s="1"/>
  <c r="D39" i="9" s="1"/>
  <c r="C38" i="9"/>
  <c r="B38" i="9" a="1"/>
  <c r="B38" i="9" s="1"/>
  <c r="C37" i="9"/>
  <c r="B37" i="9" a="1"/>
  <c r="B37" i="9" s="1"/>
  <c r="D37" i="9" s="1"/>
  <c r="C36" i="9"/>
  <c r="B36" i="9" a="1"/>
  <c r="B36" i="9" s="1"/>
  <c r="C35" i="9"/>
  <c r="B35" i="9" a="1"/>
  <c r="B35" i="9" s="1"/>
  <c r="C30" i="9"/>
  <c r="B30" i="9" a="1"/>
  <c r="B30" i="9" s="1"/>
  <c r="D30" i="9" s="1"/>
  <c r="C29" i="9"/>
  <c r="B29" i="9" a="1"/>
  <c r="B29" i="9" s="1"/>
  <c r="C28" i="9"/>
  <c r="B28" i="9" a="1"/>
  <c r="B28" i="9" s="1"/>
  <c r="C27" i="9"/>
  <c r="B27" i="9" a="1"/>
  <c r="B27" i="9" s="1"/>
  <c r="C26" i="9"/>
  <c r="B26" i="9" a="1"/>
  <c r="B26" i="9" s="1"/>
  <c r="C25" i="9"/>
  <c r="B25" i="9" a="1"/>
  <c r="B25" i="9" s="1"/>
  <c r="C24" i="9"/>
  <c r="B24" i="9" a="1"/>
  <c r="B24" i="9" s="1"/>
  <c r="C23" i="9"/>
  <c r="B23" i="9" a="1"/>
  <c r="B23" i="9" s="1"/>
  <c r="D23" i="9" s="1"/>
  <c r="C22" i="9"/>
  <c r="B22" i="9" a="1"/>
  <c r="B22" i="9" s="1"/>
  <c r="C21" i="9"/>
  <c r="B21" i="9" a="1"/>
  <c r="B21" i="9" s="1"/>
  <c r="C20" i="9"/>
  <c r="B20" i="9" a="1"/>
  <c r="B20" i="9" s="1"/>
  <c r="C19" i="9"/>
  <c r="B19" i="9" a="1"/>
  <c r="B19" i="9" s="1"/>
  <c r="C14" i="9"/>
  <c r="B14" i="9" a="1"/>
  <c r="B14" i="9" s="1"/>
  <c r="C13" i="9"/>
  <c r="B13" i="9" a="1"/>
  <c r="B13" i="9" s="1"/>
  <c r="C12" i="9"/>
  <c r="B12" i="9" a="1"/>
  <c r="B12" i="9" s="1"/>
  <c r="C11" i="9"/>
  <c r="B11" i="9" a="1"/>
  <c r="B11" i="9" s="1"/>
  <c r="C10" i="9"/>
  <c r="B10" i="9" a="1"/>
  <c r="B10" i="9" s="1"/>
  <c r="C9" i="9"/>
  <c r="B9" i="9" a="1"/>
  <c r="B9" i="9" s="1"/>
  <c r="D9" i="9" s="1"/>
  <c r="C8" i="9"/>
  <c r="B8" i="9" a="1"/>
  <c r="B8" i="9" s="1"/>
  <c r="C7" i="9"/>
  <c r="B7" i="9" a="1"/>
  <c r="B7" i="9" s="1"/>
  <c r="C6" i="9"/>
  <c r="B6" i="9" a="1"/>
  <c r="B6" i="9" s="1"/>
  <c r="C5" i="9"/>
  <c r="B5" i="9" a="1"/>
  <c r="B5" i="9" s="1"/>
  <c r="C4" i="9"/>
  <c r="B4" i="9" a="1"/>
  <c r="B4" i="9" s="1"/>
  <c r="D4" i="9" s="1"/>
  <c r="C3" i="9"/>
  <c r="B3" i="9" a="1"/>
  <c r="B3" i="9" s="1"/>
  <c r="C82" i="8"/>
  <c r="B82" i="8" a="1"/>
  <c r="B82" i="8" s="1"/>
  <c r="C81" i="8"/>
  <c r="B81" i="8" a="1"/>
  <c r="B81" i="8" s="1"/>
  <c r="C80" i="8"/>
  <c r="B80" i="8" a="1"/>
  <c r="B80" i="8" s="1"/>
  <c r="C79" i="8"/>
  <c r="B79" i="8" a="1"/>
  <c r="B79" i="8" s="1"/>
  <c r="C78" i="8"/>
  <c r="B78" i="8" a="1"/>
  <c r="B78" i="8" s="1"/>
  <c r="C77" i="8"/>
  <c r="B77" i="8" a="1"/>
  <c r="B77" i="8" s="1"/>
  <c r="C76" i="8"/>
  <c r="B76" i="8" a="1"/>
  <c r="B76" i="8" s="1"/>
  <c r="C75" i="8"/>
  <c r="B75" i="8" a="1"/>
  <c r="B75" i="8" s="1"/>
  <c r="C74" i="8"/>
  <c r="B74" i="8" a="1"/>
  <c r="B74" i="8" s="1"/>
  <c r="D74" i="8" s="1"/>
  <c r="C73" i="8"/>
  <c r="B73" i="8" a="1"/>
  <c r="B73" i="8" s="1"/>
  <c r="C72" i="8"/>
  <c r="B72" i="8" a="1"/>
  <c r="B72" i="8" s="1"/>
  <c r="D72" i="8" s="1"/>
  <c r="C71" i="8"/>
  <c r="B71" i="8" a="1"/>
  <c r="B71" i="8" s="1"/>
  <c r="C70" i="8"/>
  <c r="B70" i="8" a="1"/>
  <c r="B70" i="8" s="1"/>
  <c r="C69" i="8"/>
  <c r="B69" i="8" a="1"/>
  <c r="B69" i="8" s="1"/>
  <c r="D69" i="8" s="1"/>
  <c r="C68" i="8"/>
  <c r="B68" i="8" a="1"/>
  <c r="B68" i="8" s="1"/>
  <c r="C67" i="8"/>
  <c r="B67" i="8" a="1"/>
  <c r="B67" i="8" s="1"/>
  <c r="D67" i="8" s="1"/>
  <c r="C66" i="8"/>
  <c r="B66" i="8" a="1"/>
  <c r="B66" i="8" s="1"/>
  <c r="C65" i="8"/>
  <c r="B65" i="8" a="1"/>
  <c r="B65" i="8" s="1"/>
  <c r="C64" i="8"/>
  <c r="B64" i="8" a="1"/>
  <c r="B64" i="8" s="1"/>
  <c r="D64" i="8" s="1"/>
  <c r="C63" i="8"/>
  <c r="B63" i="8" a="1"/>
  <c r="B63" i="8" s="1"/>
  <c r="C62" i="8"/>
  <c r="B62" i="8" a="1"/>
  <c r="B62" i="8" s="1"/>
  <c r="C61" i="8"/>
  <c r="B61" i="8" a="1"/>
  <c r="B61" i="8" s="1"/>
  <c r="C60" i="8"/>
  <c r="B60" i="8" a="1"/>
  <c r="B60" i="8" s="1"/>
  <c r="C59" i="8"/>
  <c r="B59" i="8" a="1"/>
  <c r="B59" i="8" s="1"/>
  <c r="C54" i="8"/>
  <c r="B54" i="8" a="1"/>
  <c r="B54" i="8" s="1"/>
  <c r="C53" i="8"/>
  <c r="B53" i="8" a="1"/>
  <c r="B53" i="8" s="1"/>
  <c r="C52" i="8"/>
  <c r="B52" i="8" a="1"/>
  <c r="B52" i="8" s="1"/>
  <c r="C51" i="8"/>
  <c r="B51" i="8" a="1"/>
  <c r="B51" i="8" s="1"/>
  <c r="C50" i="8"/>
  <c r="B50" i="8" a="1"/>
  <c r="B50" i="8" s="1"/>
  <c r="C49" i="8"/>
  <c r="B49" i="8" a="1"/>
  <c r="B49" i="8" s="1"/>
  <c r="C48" i="8"/>
  <c r="B48" i="8" a="1"/>
  <c r="B48" i="8" s="1"/>
  <c r="C47" i="8"/>
  <c r="B47" i="8" a="1"/>
  <c r="B47" i="8" s="1"/>
  <c r="C46" i="8"/>
  <c r="B46" i="8" a="1"/>
  <c r="B46" i="8" s="1"/>
  <c r="C45" i="8"/>
  <c r="D45" i="8" s="1"/>
  <c r="B45" i="8" a="1"/>
  <c r="B45" i="8" s="1"/>
  <c r="C44" i="8"/>
  <c r="B44" i="8" a="1"/>
  <c r="B44" i="8" s="1"/>
  <c r="C43" i="8"/>
  <c r="B43" i="8" a="1"/>
  <c r="B43" i="8" s="1"/>
  <c r="C42" i="8"/>
  <c r="B42" i="8" a="1"/>
  <c r="B42" i="8" s="1"/>
  <c r="C41" i="8"/>
  <c r="B41" i="8" a="1"/>
  <c r="B41" i="8" s="1"/>
  <c r="C40" i="8"/>
  <c r="B40" i="8" a="1"/>
  <c r="B40" i="8" s="1"/>
  <c r="C39" i="8"/>
  <c r="B39" i="8" a="1"/>
  <c r="B39" i="8" s="1"/>
  <c r="C38" i="8"/>
  <c r="B38" i="8" a="1"/>
  <c r="B38" i="8" s="1"/>
  <c r="C37" i="8"/>
  <c r="B37" i="8" a="1"/>
  <c r="B37" i="8" s="1"/>
  <c r="C36" i="8"/>
  <c r="B36" i="8" a="1"/>
  <c r="B36" i="8" s="1"/>
  <c r="C35" i="8"/>
  <c r="B35" i="8" a="1"/>
  <c r="B35" i="8" s="1"/>
  <c r="C34" i="8"/>
  <c r="D34" i="8" s="1"/>
  <c r="B34" i="8" a="1"/>
  <c r="B34" i="8" s="1"/>
  <c r="C33" i="8"/>
  <c r="B33" i="8" a="1"/>
  <c r="B33" i="8" s="1"/>
  <c r="C32" i="8"/>
  <c r="B32" i="8" a="1"/>
  <c r="B32" i="8" s="1"/>
  <c r="C31" i="8"/>
  <c r="B31" i="8" a="1"/>
  <c r="B31" i="8" s="1"/>
  <c r="C26" i="8"/>
  <c r="B26" i="8" a="1"/>
  <c r="B26" i="8" s="1"/>
  <c r="C25" i="8"/>
  <c r="B25" i="8" a="1"/>
  <c r="B25" i="8" s="1"/>
  <c r="C24" i="8"/>
  <c r="B24" i="8" a="1"/>
  <c r="B24" i="8" s="1"/>
  <c r="D24" i="8" s="1"/>
  <c r="C23" i="8"/>
  <c r="B23" i="8" a="1"/>
  <c r="B23" i="8" s="1"/>
  <c r="C22" i="8"/>
  <c r="B22" i="8" a="1"/>
  <c r="B22" i="8" s="1"/>
  <c r="C21" i="8"/>
  <c r="B21" i="8" a="1"/>
  <c r="B21" i="8" s="1"/>
  <c r="C20" i="8"/>
  <c r="B20" i="8" a="1"/>
  <c r="B20" i="8" s="1"/>
  <c r="C19" i="8"/>
  <c r="B19" i="8" a="1"/>
  <c r="B19" i="8" s="1"/>
  <c r="C18" i="8"/>
  <c r="B18" i="8" a="1"/>
  <c r="B18" i="8" s="1"/>
  <c r="C17" i="8"/>
  <c r="D17" i="8" s="1"/>
  <c r="B17" i="8" a="1"/>
  <c r="B17" i="8" s="1"/>
  <c r="C16" i="8"/>
  <c r="B16" i="8" a="1"/>
  <c r="B16" i="8" s="1"/>
  <c r="C15" i="8"/>
  <c r="B15" i="8" a="1"/>
  <c r="B15" i="8" s="1"/>
  <c r="C14" i="8"/>
  <c r="B14" i="8" a="1"/>
  <c r="B14" i="8" s="1"/>
  <c r="C13" i="8"/>
  <c r="B13" i="8" a="1"/>
  <c r="B13" i="8" s="1"/>
  <c r="C12" i="8"/>
  <c r="B12" i="8" a="1"/>
  <c r="B12" i="8" s="1"/>
  <c r="C11" i="8"/>
  <c r="B11" i="8" a="1"/>
  <c r="B11" i="8" s="1"/>
  <c r="C10" i="8"/>
  <c r="B10" i="8" a="1"/>
  <c r="B10" i="8" s="1"/>
  <c r="C9" i="8"/>
  <c r="B9" i="8" a="1"/>
  <c r="B9" i="8" s="1"/>
  <c r="D9" i="8" s="1"/>
  <c r="C8" i="8"/>
  <c r="B8" i="8" a="1"/>
  <c r="B8" i="8" s="1"/>
  <c r="D8" i="8" s="1"/>
  <c r="C7" i="8"/>
  <c r="B7" i="8" a="1"/>
  <c r="B7" i="8" s="1"/>
  <c r="C6" i="8"/>
  <c r="B6" i="8" a="1"/>
  <c r="B6" i="8" s="1"/>
  <c r="C5" i="8"/>
  <c r="B5" i="8" a="1"/>
  <c r="B5" i="8" s="1"/>
  <c r="C4" i="8"/>
  <c r="B4" i="8" a="1"/>
  <c r="B4" i="8" s="1"/>
  <c r="D4" i="8" s="1"/>
  <c r="C3" i="8"/>
  <c r="B3" i="8" a="1"/>
  <c r="B3" i="8" s="1"/>
  <c r="D43" i="10" l="1"/>
  <c r="D4" i="11"/>
  <c r="D9" i="11"/>
  <c r="D14" i="11"/>
  <c r="D19" i="11"/>
  <c r="T35" i="14"/>
  <c r="U35" i="14" s="1"/>
  <c r="D9" i="12"/>
  <c r="D14" i="12"/>
  <c r="D19" i="12"/>
  <c r="D35" i="12"/>
  <c r="D43" i="12"/>
  <c r="T23" i="14"/>
  <c r="U23" i="14" s="1"/>
  <c r="D5" i="11"/>
  <c r="D10" i="11"/>
  <c r="D57" i="11"/>
  <c r="T61" i="14"/>
  <c r="U61" i="14" s="1"/>
  <c r="T58" i="14"/>
  <c r="U58" i="14" s="1"/>
  <c r="D25" i="11"/>
  <c r="T26" i="14"/>
  <c r="U26" i="14" s="1"/>
  <c r="D68" i="8"/>
  <c r="D73" i="8"/>
  <c r="D8" i="9"/>
  <c r="D40" i="10"/>
  <c r="D6" i="11"/>
  <c r="D11" i="11"/>
  <c r="D30" i="11"/>
  <c r="C125" i="11"/>
  <c r="D64" i="12"/>
  <c r="T55" i="14"/>
  <c r="U55" i="14" s="1"/>
  <c r="T13" i="14"/>
  <c r="U13" i="14" s="1"/>
  <c r="T19" i="14"/>
  <c r="U19" i="14" s="1"/>
  <c r="D42" i="9"/>
  <c r="D37" i="12"/>
  <c r="D7" i="12"/>
  <c r="D12" i="12"/>
  <c r="D17" i="12"/>
  <c r="T10" i="14"/>
  <c r="U10" i="14" s="1"/>
  <c r="D70" i="8"/>
  <c r="D75" i="8"/>
  <c r="D38" i="9"/>
  <c r="D43" i="9"/>
  <c r="D9" i="10"/>
  <c r="D14" i="10"/>
  <c r="D23" i="10"/>
  <c r="D28" i="10"/>
  <c r="D66" i="12"/>
  <c r="T3" i="14"/>
  <c r="U3" i="14" s="1"/>
  <c r="C41" i="11"/>
  <c r="D8" i="12"/>
  <c r="D13" i="12"/>
  <c r="D18" i="12"/>
  <c r="D30" i="12"/>
  <c r="T44" i="14"/>
  <c r="U44" i="14" s="1"/>
  <c r="T43" i="14"/>
  <c r="U43" i="14" s="1"/>
  <c r="T48" i="14"/>
  <c r="U48" i="14" s="1"/>
  <c r="T50" i="14"/>
  <c r="U50" i="14" s="1"/>
  <c r="T39" i="14"/>
  <c r="U39" i="14" s="1"/>
  <c r="T37" i="14"/>
  <c r="U37" i="14" s="1"/>
  <c r="T47" i="14"/>
  <c r="U47" i="14" s="1"/>
  <c r="T33" i="14"/>
  <c r="U33" i="14" s="1"/>
  <c r="T40" i="14"/>
  <c r="U40" i="14" s="1"/>
  <c r="T15" i="14"/>
  <c r="U15" i="14" s="1"/>
  <c r="T27" i="14"/>
  <c r="U27" i="14" s="1"/>
  <c r="T38" i="14"/>
  <c r="U38" i="14" s="1"/>
  <c r="T4" i="14"/>
  <c r="U4" i="14" s="1"/>
  <c r="T8" i="14"/>
  <c r="U8" i="14" s="1"/>
  <c r="T29" i="14"/>
  <c r="U29" i="14" s="1"/>
  <c r="T36" i="14"/>
  <c r="U36" i="14" s="1"/>
  <c r="T59" i="14"/>
  <c r="U59" i="14" s="1"/>
  <c r="T56" i="14"/>
  <c r="U56" i="14" s="1"/>
  <c r="T57" i="14"/>
  <c r="U57" i="14" s="1"/>
  <c r="T24" i="14"/>
  <c r="U24" i="14" s="1"/>
  <c r="T42" i="14"/>
  <c r="U42" i="14" s="1"/>
  <c r="T18" i="14"/>
  <c r="U18" i="14" s="1"/>
  <c r="T32" i="14"/>
  <c r="U32" i="14" s="1"/>
  <c r="T45" i="14"/>
  <c r="U45" i="14" s="1"/>
  <c r="T46" i="14"/>
  <c r="U46" i="14" s="1"/>
  <c r="T7" i="14"/>
  <c r="U7" i="14" s="1"/>
  <c r="T49" i="14"/>
  <c r="U49" i="14" s="1"/>
  <c r="T9" i="14"/>
  <c r="U9" i="14" s="1"/>
  <c r="T53" i="14"/>
  <c r="U53" i="14" s="1"/>
  <c r="T28" i="14"/>
  <c r="U28" i="14" s="1"/>
  <c r="D44" i="12"/>
  <c r="D41" i="12"/>
  <c r="D27" i="12"/>
  <c r="D38" i="12"/>
  <c r="C68" i="12"/>
  <c r="D68" i="12" s="1"/>
  <c r="D21" i="12"/>
  <c r="D28" i="12"/>
  <c r="D42" i="12"/>
  <c r="D65" i="12"/>
  <c r="D32" i="12"/>
  <c r="D39" i="12"/>
  <c r="D36" i="12"/>
  <c r="C45" i="12"/>
  <c r="D33" i="12"/>
  <c r="D40" i="12"/>
  <c r="D67" i="12"/>
  <c r="D64" i="11"/>
  <c r="D88" i="11"/>
  <c r="C83" i="11"/>
  <c r="D50" i="11"/>
  <c r="D55" i="11"/>
  <c r="D65" i="11"/>
  <c r="D70" i="11"/>
  <c r="D75" i="11"/>
  <c r="D89" i="11"/>
  <c r="D15" i="11"/>
  <c r="D20" i="11"/>
  <c r="D47" i="11"/>
  <c r="D61" i="11"/>
  <c r="D66" i="11"/>
  <c r="D71" i="11"/>
  <c r="D76" i="11"/>
  <c r="D90" i="11"/>
  <c r="D10" i="10"/>
  <c r="D24" i="10"/>
  <c r="D38" i="10"/>
  <c r="D29" i="10"/>
  <c r="D39" i="10"/>
  <c r="D27" i="10"/>
  <c r="D6" i="10"/>
  <c r="B31" i="10"/>
  <c r="D31" i="10" s="1"/>
  <c r="D19" i="10"/>
  <c r="C47" i="10"/>
  <c r="C31" i="10"/>
  <c r="D35" i="10"/>
  <c r="D44" i="10"/>
  <c r="D4" i="10"/>
  <c r="D22" i="10"/>
  <c r="D30" i="10"/>
  <c r="D45" i="10"/>
  <c r="D8" i="10"/>
  <c r="D42" i="10"/>
  <c r="D46" i="10"/>
  <c r="D27" i="9"/>
  <c r="D37" i="8"/>
  <c r="D42" i="8"/>
  <c r="D39" i="8"/>
  <c r="D49" i="8"/>
  <c r="D54" i="8"/>
  <c r="D21" i="8"/>
  <c r="D11" i="8"/>
  <c r="D13" i="8"/>
  <c r="D59" i="8"/>
  <c r="D48" i="8"/>
  <c r="D53" i="8"/>
  <c r="D14" i="8"/>
  <c r="D19" i="8"/>
  <c r="D44" i="8"/>
  <c r="D63" i="8"/>
  <c r="D77" i="8"/>
  <c r="D32" i="8"/>
  <c r="D38" i="8"/>
  <c r="D47" i="8"/>
  <c r="D62" i="8"/>
  <c r="D79" i="8"/>
  <c r="D33" i="8"/>
  <c r="D43" i="8"/>
  <c r="D10" i="8"/>
  <c r="D18" i="8"/>
  <c r="D82" i="8"/>
  <c r="D25" i="8"/>
  <c r="D50" i="8"/>
  <c r="D15" i="8"/>
  <c r="D26" i="8"/>
  <c r="D40" i="8"/>
  <c r="D71" i="8"/>
  <c r="D23" i="8"/>
  <c r="D16" i="8"/>
  <c r="D31" i="8"/>
  <c r="D41" i="8"/>
  <c r="D52" i="8"/>
  <c r="D76" i="8"/>
  <c r="D80" i="8"/>
  <c r="D20" i="8"/>
  <c r="D5" i="8"/>
  <c r="C83" i="8"/>
  <c r="D35" i="8"/>
  <c r="D65" i="8"/>
  <c r="D78" i="8"/>
  <c r="D28" i="9"/>
  <c r="D24" i="9"/>
  <c r="D29" i="9"/>
  <c r="D7" i="9"/>
  <c r="D25" i="9"/>
  <c r="D13" i="9"/>
  <c r="D14" i="9"/>
  <c r="D20" i="9"/>
  <c r="D22" i="9"/>
  <c r="C31" i="9"/>
  <c r="D12" i="9"/>
  <c r="D19" i="9"/>
  <c r="D26" i="9"/>
  <c r="D46" i="9"/>
  <c r="D5" i="9"/>
  <c r="B47" i="9"/>
  <c r="D35" i="9"/>
  <c r="D10" i="9"/>
  <c r="D21" i="9"/>
  <c r="D36" i="9"/>
  <c r="D40" i="9"/>
  <c r="D44" i="9"/>
  <c r="D40" i="11"/>
  <c r="D26" i="11"/>
  <c r="D37" i="11"/>
  <c r="D23" i="11"/>
  <c r="D34" i="11"/>
  <c r="D31" i="11"/>
  <c r="D38" i="11"/>
  <c r="D12" i="11"/>
  <c r="D16" i="11"/>
  <c r="D35" i="11"/>
  <c r="D32" i="11"/>
  <c r="D39" i="11"/>
  <c r="D17" i="11"/>
  <c r="D21" i="11"/>
  <c r="D29" i="11"/>
  <c r="D36" i="11"/>
  <c r="D68" i="11"/>
  <c r="D72" i="11"/>
  <c r="D80" i="11"/>
  <c r="D77" i="11"/>
  <c r="D81" i="11"/>
  <c r="D63" i="11"/>
  <c r="D74" i="11"/>
  <c r="D78" i="11"/>
  <c r="D67" i="11"/>
  <c r="D82" i="11"/>
  <c r="D102" i="11"/>
  <c r="D112" i="11"/>
  <c r="D122" i="11"/>
  <c r="D106" i="11"/>
  <c r="D109" i="11"/>
  <c r="D119" i="11"/>
  <c r="D116" i="11"/>
  <c r="D123" i="11"/>
  <c r="D113" i="11"/>
  <c r="D110" i="11"/>
  <c r="D120" i="11"/>
  <c r="D117" i="11"/>
  <c r="D124" i="11"/>
  <c r="D107" i="11"/>
  <c r="D111" i="11"/>
  <c r="D121" i="11"/>
  <c r="D114" i="11"/>
  <c r="D108" i="11"/>
  <c r="D118" i="11"/>
  <c r="D115" i="11"/>
  <c r="D7" i="10"/>
  <c r="D26" i="10"/>
  <c r="D28" i="11"/>
  <c r="D81" i="8"/>
  <c r="D6" i="9"/>
  <c r="D41" i="10"/>
  <c r="D13" i="11"/>
  <c r="D79" i="11"/>
  <c r="D87" i="11"/>
  <c r="B125" i="11"/>
  <c r="D125" i="11" s="1"/>
  <c r="D34" i="12"/>
  <c r="D6" i="8"/>
  <c r="D61" i="8"/>
  <c r="D36" i="8"/>
  <c r="D46" i="8"/>
  <c r="D7" i="8"/>
  <c r="D22" i="8"/>
  <c r="D66" i="8"/>
  <c r="D3" i="9"/>
  <c r="B15" i="9"/>
  <c r="B68" i="12"/>
  <c r="D49" i="12"/>
  <c r="B31" i="9"/>
  <c r="D11" i="9"/>
  <c r="D41" i="9"/>
  <c r="D45" i="9"/>
  <c r="D12" i="10"/>
  <c r="B41" i="11"/>
  <c r="D41" i="11" s="1"/>
  <c r="D18" i="11"/>
  <c r="D33" i="11"/>
  <c r="D58" i="11"/>
  <c r="D69" i="11"/>
  <c r="D3" i="8"/>
  <c r="B27" i="8"/>
  <c r="D51" i="8"/>
  <c r="D12" i="8"/>
  <c r="B55" i="8"/>
  <c r="D22" i="11"/>
  <c r="D103" i="11"/>
  <c r="D13" i="10"/>
  <c r="B47" i="10"/>
  <c r="D45" i="11"/>
  <c r="B83" i="11"/>
  <c r="D62" i="11"/>
  <c r="D73" i="11"/>
  <c r="B83" i="8"/>
  <c r="D60" i="8"/>
  <c r="B15" i="10"/>
  <c r="D21" i="10"/>
  <c r="D36" i="10"/>
  <c r="D104" i="11"/>
  <c r="B45" i="12"/>
  <c r="D45" i="12" s="1"/>
  <c r="D29" i="12"/>
  <c r="D3" i="10"/>
  <c r="D8" i="11"/>
  <c r="D27" i="11"/>
  <c r="B22" i="12"/>
  <c r="D22" i="12" s="1"/>
  <c r="D3" i="12"/>
  <c r="C55" i="8"/>
  <c r="C15" i="9"/>
  <c r="D3" i="11"/>
  <c r="C27" i="8"/>
  <c r="C47" i="9"/>
  <c r="C15" i="10"/>
  <c r="D26" i="12"/>
  <c r="D83" i="8" l="1"/>
  <c r="D83" i="11"/>
  <c r="D15" i="10"/>
  <c r="D47" i="10"/>
  <c r="D27" i="8"/>
  <c r="D55" i="8"/>
  <c r="D15" i="9"/>
  <c r="D31" i="9"/>
  <c r="D47" i="9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5" i="5"/>
  <c r="C13" i="5"/>
  <c r="C21" i="5"/>
  <c r="C22" i="5"/>
  <c r="C20" i="5"/>
  <c r="C19" i="5"/>
  <c r="B22" i="5" a="1"/>
  <c r="B22" i="5" s="1"/>
  <c r="D22" i="5" s="1"/>
  <c r="B21" i="5" a="1"/>
  <c r="B21" i="5" s="1"/>
  <c r="B20" i="5" a="1"/>
  <c r="B20" i="5" s="1"/>
  <c r="B19" i="5" a="1"/>
  <c r="B19" i="5" s="1"/>
  <c r="C14" i="5"/>
  <c r="C12" i="5"/>
  <c r="C11" i="5"/>
  <c r="B14" i="5" a="1"/>
  <c r="B14" i="5" s="1"/>
  <c r="D14" i="5" s="1"/>
  <c r="B13" i="5" a="1"/>
  <c r="B13" i="5" s="1"/>
  <c r="B12" i="5" a="1"/>
  <c r="B12" i="5" s="1"/>
  <c r="B11" i="5" a="1"/>
  <c r="B11" i="5" s="1"/>
  <c r="D11" i="5" s="1"/>
  <c r="C6" i="5"/>
  <c r="C4" i="5"/>
  <c r="B6" i="5" a="1"/>
  <c r="B6" i="5" s="1"/>
  <c r="D6" i="5" s="1"/>
  <c r="B5" i="5" a="1"/>
  <c r="B5" i="5" s="1"/>
  <c r="B4" i="5" a="1"/>
  <c r="B4" i="5" s="1"/>
  <c r="B3" i="5" a="1"/>
  <c r="B3" i="5" s="1"/>
  <c r="C3" i="5"/>
  <c r="Q2" i="7" l="1"/>
  <c r="B23" i="5"/>
  <c r="D4" i="5"/>
  <c r="D19" i="5"/>
  <c r="D20" i="5"/>
  <c r="D12" i="5"/>
  <c r="B15" i="5"/>
  <c r="C23" i="5"/>
  <c r="C15" i="5"/>
  <c r="D5" i="5"/>
  <c r="D13" i="5"/>
  <c r="D21" i="5"/>
  <c r="C7" i="5"/>
  <c r="D3" i="5"/>
  <c r="B7" i="5"/>
  <c r="D23" i="5" l="1"/>
  <c r="D15" i="5"/>
  <c r="D7" i="5"/>
  <c r="D49" i="7" a="1"/>
  <c r="D49" i="7" s="1"/>
  <c r="E157" i="7" a="1"/>
  <c r="E157" i="7" s="1"/>
  <c r="D128" i="7" a="1"/>
  <c r="D128" i="7" s="1"/>
  <c r="E7" i="7" a="1"/>
  <c r="E7" i="7" s="1"/>
  <c r="E24" i="7" a="1"/>
  <c r="E24" i="7" s="1"/>
  <c r="E12" i="7" a="1"/>
  <c r="E12" i="7" s="1"/>
  <c r="D95" i="7" a="1"/>
  <c r="D95" i="7" s="1"/>
  <c r="E233" i="7" a="1"/>
  <c r="E233" i="7" s="1"/>
  <c r="E176" i="7" a="1"/>
  <c r="E176" i="7" s="1"/>
  <c r="B2" i="7" a="1"/>
  <c r="B2" i="7" s="1"/>
  <c r="B23" i="7" a="1"/>
  <c r="B23" i="7" s="1"/>
  <c r="E14" i="7" l="1" a="1"/>
  <c r="E14" i="7" s="1"/>
  <c r="D156" i="7" a="1"/>
  <c r="D156" i="7" s="1"/>
  <c r="D138" i="7" a="1"/>
  <c r="D138" i="7" s="1"/>
  <c r="E147" i="7" a="1"/>
  <c r="E147" i="7" s="1"/>
  <c r="D36" i="7" a="1"/>
  <c r="D36" i="7" s="1"/>
  <c r="D55" i="7" a="1"/>
  <c r="D55" i="7" s="1"/>
  <c r="E221" i="7" a="1"/>
  <c r="E221" i="7" s="1"/>
  <c r="E3" i="7" a="1"/>
  <c r="E3" i="7" s="1"/>
  <c r="D131" i="7" a="1"/>
  <c r="D131" i="7" s="1"/>
  <c r="D45" i="7" a="1"/>
  <c r="D45" i="7" s="1"/>
  <c r="E58" i="7" a="1"/>
  <c r="E58" i="7" s="1"/>
  <c r="E105" i="7" a="1"/>
  <c r="E105" i="7" s="1"/>
  <c r="D40" i="7" a="1"/>
  <c r="D40" i="7" s="1"/>
  <c r="D53" i="7" a="1"/>
  <c r="D53" i="7" s="1"/>
  <c r="E187" i="7" a="1"/>
  <c r="E187" i="7" s="1"/>
  <c r="D151" i="7" a="1"/>
  <c r="D151" i="7" s="1"/>
  <c r="D146" i="7" a="1"/>
  <c r="D146" i="7" s="1"/>
  <c r="E117" i="7" a="1"/>
  <c r="E117" i="7" s="1"/>
  <c r="E155" i="7" a="1"/>
  <c r="E155" i="7" s="1"/>
  <c r="D201" i="7" a="1"/>
  <c r="D201" i="7" s="1"/>
  <c r="E39" i="7" a="1"/>
  <c r="E39" i="7" s="1"/>
  <c r="D112" i="7" a="1"/>
  <c r="D112" i="7" s="1"/>
  <c r="D63" i="7" a="1"/>
  <c r="D63" i="7" s="1"/>
  <c r="D168" i="7" a="1"/>
  <c r="D168" i="7" s="1"/>
  <c r="E148" i="7" a="1"/>
  <c r="E148" i="7" s="1"/>
  <c r="E37" i="7" a="1"/>
  <c r="E37" i="7" s="1"/>
  <c r="E169" i="7" a="1"/>
  <c r="E169" i="7" s="1"/>
  <c r="D225" i="7" a="1"/>
  <c r="D225" i="7" s="1"/>
  <c r="E150" i="7" a="1"/>
  <c r="E150" i="7" s="1"/>
  <c r="D21" i="7" a="1"/>
  <c r="D21" i="7" s="1"/>
  <c r="D47" i="7" a="1"/>
  <c r="D47" i="7" s="1"/>
  <c r="D39" i="7" a="1"/>
  <c r="D39" i="7" s="1"/>
  <c r="B9" i="7" a="1"/>
  <c r="B9" i="7" s="1"/>
  <c r="D104" i="7" a="1"/>
  <c r="D104" i="7" s="1"/>
  <c r="E180" i="7" a="1"/>
  <c r="E180" i="7" s="1"/>
  <c r="D71" i="7" a="1"/>
  <c r="D71" i="7" s="1"/>
  <c r="D126" i="7" a="1"/>
  <c r="D126" i="7" s="1"/>
  <c r="E222" i="7" a="1"/>
  <c r="E222" i="7" s="1"/>
  <c r="D18" i="7" a="1"/>
  <c r="D18" i="7" s="1"/>
  <c r="D15" i="7" a="1"/>
  <c r="D15" i="7" s="1"/>
  <c r="E63" i="7" a="1"/>
  <c r="E63" i="7" s="1"/>
  <c r="D130" i="7" a="1"/>
  <c r="D130" i="7" s="1"/>
  <c r="E165" i="7" a="1"/>
  <c r="E165" i="7" s="1"/>
  <c r="D121" i="7" a="1"/>
  <c r="D121" i="7" s="1"/>
  <c r="B62" i="7" a="1"/>
  <c r="B62" i="7" s="1"/>
  <c r="E223" i="7" a="1"/>
  <c r="E223" i="7" s="1"/>
  <c r="E36" i="7" a="1"/>
  <c r="E36" i="7" s="1"/>
  <c r="D65" i="7" a="1"/>
  <c r="D65" i="7" s="1"/>
  <c r="E46" i="7" a="1"/>
  <c r="E46" i="7" s="1"/>
  <c r="E125" i="7" a="1"/>
  <c r="E125" i="7" s="1"/>
  <c r="E114" i="7" a="1"/>
  <c r="E114" i="7" s="1"/>
  <c r="D77" i="7" a="1"/>
  <c r="D77" i="7" s="1"/>
  <c r="E201" i="7" a="1"/>
  <c r="E201" i="7" s="1"/>
  <c r="E149" i="7" a="1"/>
  <c r="E149" i="7" s="1"/>
  <c r="D229" i="7" a="1"/>
  <c r="D229" i="7" s="1"/>
  <c r="D26" i="7" a="1"/>
  <c r="D26" i="7" s="1"/>
  <c r="D35" i="7" a="1"/>
  <c r="D35" i="7" s="1"/>
  <c r="E188" i="7" a="1"/>
  <c r="E188" i="7" s="1"/>
  <c r="D100" i="7" a="1"/>
  <c r="D100" i="7" s="1"/>
  <c r="D62" i="7" a="1"/>
  <c r="D62" i="7" s="1"/>
  <c r="E89" i="7" a="1"/>
  <c r="E89" i="7" s="1"/>
  <c r="E145" i="7" a="1"/>
  <c r="E145" i="7" s="1"/>
  <c r="E184" i="7" a="1"/>
  <c r="E184" i="7" s="1"/>
  <c r="E32" i="7" a="1"/>
  <c r="E32" i="7" s="1"/>
  <c r="E186" i="7" a="1"/>
  <c r="E186" i="7" s="1"/>
  <c r="D157" i="7" a="1"/>
  <c r="D157" i="7" s="1"/>
  <c r="D234" i="7" a="1"/>
  <c r="D234" i="7" s="1"/>
  <c r="E69" i="7" a="1"/>
  <c r="E69" i="7" s="1"/>
  <c r="D102" i="7" a="1"/>
  <c r="D102" i="7" s="1"/>
  <c r="E70" i="7" a="1"/>
  <c r="E70" i="7" s="1"/>
  <c r="D41" i="7" a="1"/>
  <c r="D41" i="7" s="1"/>
  <c r="D154" i="7" a="1"/>
  <c r="D154" i="7" s="1"/>
  <c r="E209" i="7" a="1"/>
  <c r="E209" i="7" s="1"/>
  <c r="D123" i="7" a="1"/>
  <c r="D123" i="7" s="1"/>
  <c r="E107" i="7" a="1"/>
  <c r="E107" i="7" s="1"/>
  <c r="E97" i="7" a="1"/>
  <c r="E97" i="7" s="1"/>
  <c r="E56" i="7" a="1"/>
  <c r="E56" i="7" s="1"/>
  <c r="E49" i="7" a="1"/>
  <c r="E49" i="7" s="1"/>
  <c r="E75" i="7" a="1"/>
  <c r="E75" i="7" s="1"/>
  <c r="D176" i="7" a="1"/>
  <c r="D176" i="7" s="1"/>
  <c r="E124" i="7" a="1"/>
  <c r="E124" i="7" s="1"/>
  <c r="D106" i="7" a="1"/>
  <c r="D106" i="7" s="1"/>
  <c r="E183" i="7" a="1"/>
  <c r="E183" i="7" s="1"/>
  <c r="D80" i="7" a="1"/>
  <c r="D80" i="7" s="1"/>
  <c r="D4" i="7" a="1"/>
  <c r="D4" i="7" s="1"/>
  <c r="E26" i="7" a="1"/>
  <c r="E26" i="7" s="1"/>
  <c r="D124" i="7" a="1"/>
  <c r="D124" i="7" s="1"/>
  <c r="E152" i="7" a="1"/>
  <c r="E152" i="7" s="1"/>
  <c r="D44" i="7" a="1"/>
  <c r="D44" i="7" s="1"/>
  <c r="E59" i="7" a="1"/>
  <c r="E59" i="7" s="1"/>
  <c r="E73" i="7" a="1"/>
  <c r="E73" i="7" s="1"/>
  <c r="E205" i="7" a="1"/>
  <c r="E205" i="7" s="1"/>
  <c r="E143" i="7" a="1"/>
  <c r="E143" i="7" s="1"/>
  <c r="D48" i="7" a="1"/>
  <c r="D48" i="7" s="1"/>
  <c r="E230" i="7" a="1"/>
  <c r="E230" i="7" s="1"/>
  <c r="E204" i="7" a="1"/>
  <c r="E204" i="7" s="1"/>
  <c r="E214" i="7" a="1"/>
  <c r="E214" i="7" s="1"/>
  <c r="D42" i="7" a="1"/>
  <c r="D42" i="7" s="1"/>
  <c r="D58" i="7" a="1"/>
  <c r="D58" i="7" s="1"/>
  <c r="E179" i="7" a="1"/>
  <c r="E179" i="7" s="1"/>
  <c r="E185" i="7" a="1"/>
  <c r="E185" i="7" s="1"/>
  <c r="E131" i="7" a="1"/>
  <c r="E131" i="7" s="1"/>
  <c r="D221" i="7" a="1"/>
  <c r="D221" i="7" s="1"/>
  <c r="D37" i="7" a="1"/>
  <c r="D37" i="7" s="1"/>
  <c r="E121" i="7" a="1"/>
  <c r="E121" i="7" s="1"/>
  <c r="D145" i="7" a="1"/>
  <c r="D145" i="7" s="1"/>
  <c r="D33" i="7" a="1"/>
  <c r="D33" i="7" s="1"/>
  <c r="E129" i="7" a="1"/>
  <c r="E129" i="7" s="1"/>
  <c r="E208" i="7" a="1"/>
  <c r="E208" i="7" s="1"/>
  <c r="D186" i="7" a="1"/>
  <c r="D186" i="7" s="1"/>
  <c r="D175" i="7" a="1"/>
  <c r="D175" i="7" s="1"/>
  <c r="D233" i="7" a="1"/>
  <c r="D233" i="7" s="1"/>
  <c r="D191" i="7" a="1"/>
  <c r="D191" i="7" s="1"/>
  <c r="E54" i="7" a="1"/>
  <c r="E54" i="7" s="1"/>
  <c r="E100" i="7" a="1"/>
  <c r="E100" i="7" s="1"/>
  <c r="E15" i="7" a="1"/>
  <c r="E15" i="7" s="1"/>
  <c r="D2" i="7" a="1"/>
  <c r="D2" i="7" s="1"/>
  <c r="C62" i="7" a="1"/>
  <c r="C62" i="7" s="1"/>
  <c r="C154" i="7" a="1"/>
  <c r="C154" i="7" s="1"/>
  <c r="C4" i="7" a="1"/>
  <c r="C4" i="7" s="1"/>
  <c r="C187" i="7" a="1"/>
  <c r="C187" i="7" s="1"/>
  <c r="C35" i="7" a="1"/>
  <c r="C35" i="7" s="1"/>
  <c r="C104" i="7" a="1"/>
  <c r="C104" i="7" s="1"/>
  <c r="C191" i="7" a="1"/>
  <c r="C191" i="7" s="1"/>
  <c r="C12" i="7" a="1"/>
  <c r="C12" i="7" s="1"/>
  <c r="C208" i="7" a="1"/>
  <c r="C208" i="7" s="1"/>
  <c r="C162" i="7" a="1"/>
  <c r="C162" i="7" s="1"/>
  <c r="C52" i="7" a="1"/>
  <c r="C52" i="7" s="1"/>
  <c r="C186" i="7" a="1"/>
  <c r="C186" i="7" s="1"/>
  <c r="C18" i="7" a="1"/>
  <c r="C18" i="7" s="1"/>
  <c r="C20" i="7" a="1"/>
  <c r="C20" i="7" s="1"/>
  <c r="C81" i="7" a="1"/>
  <c r="C81" i="7" s="1"/>
  <c r="C40" i="7" a="1"/>
  <c r="C40" i="7" s="1"/>
  <c r="C184" i="7" a="1"/>
  <c r="C184" i="7" s="1"/>
  <c r="C147" i="7" a="1"/>
  <c r="C147" i="7" s="1"/>
  <c r="C7" i="7" a="1"/>
  <c r="C7" i="7" s="1"/>
  <c r="C195" i="7" a="1"/>
  <c r="C195" i="7" s="1"/>
  <c r="C89" i="7" a="1"/>
  <c r="C89" i="7" s="1"/>
  <c r="C118" i="7" a="1"/>
  <c r="C118" i="7" s="1"/>
  <c r="C153" i="7" a="1"/>
  <c r="C153" i="7" s="1"/>
  <c r="C61" i="7" a="1"/>
  <c r="C61" i="7" s="1"/>
  <c r="C14" i="7" a="1"/>
  <c r="C14" i="7" s="1"/>
  <c r="C27" i="7" a="1"/>
  <c r="C27" i="7" s="1"/>
  <c r="C220" i="7" a="1"/>
  <c r="C220" i="7" s="1"/>
  <c r="C207" i="7" a="1"/>
  <c r="C207" i="7" s="1"/>
  <c r="C212" i="7" a="1"/>
  <c r="C212" i="7" s="1"/>
  <c r="C157" i="7" a="1"/>
  <c r="C157" i="7" s="1"/>
  <c r="C122" i="7" a="1"/>
  <c r="C122" i="7" s="1"/>
  <c r="C24" i="7" a="1"/>
  <c r="C24" i="7" s="1"/>
  <c r="C3" i="7" a="1"/>
  <c r="C3" i="7" s="1"/>
  <c r="C9" i="7" a="1"/>
  <c r="C9" i="7" s="1"/>
  <c r="C26" i="7" a="1"/>
  <c r="C26" i="7" s="1"/>
  <c r="C167" i="7" a="1"/>
  <c r="C167" i="7" s="1"/>
  <c r="C216" i="7" a="1"/>
  <c r="C216" i="7" s="1"/>
  <c r="C217" i="7" a="1"/>
  <c r="C217" i="7" s="1"/>
  <c r="C200" i="7" a="1"/>
  <c r="C200" i="7" s="1"/>
  <c r="C210" i="7" a="1"/>
  <c r="C210" i="7" s="1"/>
  <c r="C129" i="7" a="1"/>
  <c r="C129" i="7" s="1"/>
  <c r="C16" i="7" a="1"/>
  <c r="C16" i="7" s="1"/>
  <c r="C161" i="7" a="1"/>
  <c r="C161" i="7" s="1"/>
  <c r="C221" i="7" a="1"/>
  <c r="C221" i="7" s="1"/>
  <c r="C80" i="7" a="1"/>
  <c r="C80" i="7" s="1"/>
  <c r="C218" i="7" a="1"/>
  <c r="C218" i="7" s="1"/>
  <c r="C11" i="7" a="1"/>
  <c r="C11" i="7" s="1"/>
  <c r="C134" i="7" a="1"/>
  <c r="C134" i="7" s="1"/>
  <c r="C231" i="7" a="1"/>
  <c r="C231" i="7" s="1"/>
  <c r="C203" i="7" a="1"/>
  <c r="C203" i="7" s="1"/>
  <c r="C5" i="7" a="1"/>
  <c r="C5" i="7" s="1"/>
  <c r="C170" i="7" a="1"/>
  <c r="C170" i="7" s="1"/>
  <c r="C30" i="7" a="1"/>
  <c r="C30" i="7" s="1"/>
  <c r="C57" i="7" a="1"/>
  <c r="C57" i="7" s="1"/>
  <c r="C213" i="7" a="1"/>
  <c r="C213" i="7" s="1"/>
  <c r="C177" i="7" a="1"/>
  <c r="C177" i="7" s="1"/>
  <c r="C113" i="7" a="1"/>
  <c r="C113" i="7" s="1"/>
  <c r="C225" i="7" a="1"/>
  <c r="C225" i="7" s="1"/>
  <c r="C58" i="7" a="1"/>
  <c r="C58" i="7" s="1"/>
  <c r="C6" i="7" a="1"/>
  <c r="C6" i="7" s="1"/>
  <c r="C107" i="7" a="1"/>
  <c r="C107" i="7" s="1"/>
  <c r="C135" i="7" a="1"/>
  <c r="C135" i="7" s="1"/>
  <c r="C76" i="7" a="1"/>
  <c r="C76" i="7" s="1"/>
  <c r="C194" i="7" a="1"/>
  <c r="C194" i="7" s="1"/>
  <c r="C67" i="7" a="1"/>
  <c r="C67" i="7" s="1"/>
  <c r="C166" i="7" a="1"/>
  <c r="C166" i="7" s="1"/>
  <c r="C130" i="7" a="1"/>
  <c r="C130" i="7" s="1"/>
  <c r="C34" i="7" a="1"/>
  <c r="C34" i="7" s="1"/>
  <c r="C42" i="7" a="1"/>
  <c r="C42" i="7" s="1"/>
  <c r="C37" i="7" a="1"/>
  <c r="C37" i="7" s="1"/>
  <c r="C126" i="7" a="1"/>
  <c r="C126" i="7" s="1"/>
  <c r="C123" i="7" a="1"/>
  <c r="C123" i="7" s="1"/>
  <c r="C8" i="7" a="1"/>
  <c r="C8" i="7" s="1"/>
  <c r="C22" i="7" a="1"/>
  <c r="C22" i="7" s="1"/>
  <c r="C115" i="7" a="1"/>
  <c r="C115" i="7" s="1"/>
  <c r="C36" i="7" a="1"/>
  <c r="C36" i="7" s="1"/>
  <c r="C70" i="7" a="1"/>
  <c r="C70" i="7" s="1"/>
  <c r="C54" i="7" a="1"/>
  <c r="C54" i="7" s="1"/>
  <c r="C28" i="7" a="1"/>
  <c r="C28" i="7" s="1"/>
  <c r="C150" i="7" a="1"/>
  <c r="C150" i="7" s="1"/>
  <c r="C179" i="7" a="1"/>
  <c r="C179" i="7" s="1"/>
  <c r="C175" i="7" a="1"/>
  <c r="C175" i="7" s="1"/>
  <c r="C120" i="7" a="1"/>
  <c r="C120" i="7" s="1"/>
  <c r="C158" i="7" a="1"/>
  <c r="C158" i="7" s="1"/>
  <c r="C17" i="7" a="1"/>
  <c r="C17" i="7" s="1"/>
  <c r="C180" i="7" a="1"/>
  <c r="C180" i="7" s="1"/>
  <c r="C13" i="7" a="1"/>
  <c r="C13" i="7" s="1"/>
  <c r="C211" i="7" a="1"/>
  <c r="C211" i="7" s="1"/>
  <c r="C82" i="7" a="1"/>
  <c r="C82" i="7" s="1"/>
  <c r="C23" i="7" a="1"/>
  <c r="C23" i="7" s="1"/>
  <c r="C97" i="7" a="1"/>
  <c r="C97" i="7" s="1"/>
  <c r="C127" i="7" a="1"/>
  <c r="C127" i="7" s="1"/>
  <c r="C132" i="7" a="1"/>
  <c r="C132" i="7" s="1"/>
  <c r="C223" i="7" a="1"/>
  <c r="C223" i="7" s="1"/>
  <c r="C143" i="7" a="1"/>
  <c r="C143" i="7" s="1"/>
  <c r="C169" i="7" a="1"/>
  <c r="C169" i="7" s="1"/>
  <c r="C124" i="7" a="1"/>
  <c r="C124" i="7" s="1"/>
  <c r="C233" i="7" a="1"/>
  <c r="C233" i="7" s="1"/>
  <c r="F233" i="7" s="1"/>
  <c r="C19" i="7" a="1"/>
  <c r="C19" i="7" s="1"/>
  <c r="C174" i="7" a="1"/>
  <c r="C174" i="7" s="1"/>
  <c r="C160" i="7" a="1"/>
  <c r="C160" i="7" s="1"/>
  <c r="C60" i="7" a="1"/>
  <c r="C60" i="7" s="1"/>
  <c r="C142" i="7" a="1"/>
  <c r="C142" i="7" s="1"/>
  <c r="C108" i="7" a="1"/>
  <c r="C108" i="7" s="1"/>
  <c r="C163" i="7" a="1"/>
  <c r="C163" i="7" s="1"/>
  <c r="C125" i="7" a="1"/>
  <c r="C125" i="7" s="1"/>
  <c r="C141" i="7" a="1"/>
  <c r="C141" i="7" s="1"/>
  <c r="C68" i="7" a="1"/>
  <c r="C68" i="7" s="1"/>
  <c r="C234" i="7" a="1"/>
  <c r="C234" i="7" s="1"/>
  <c r="C77" i="7" a="1"/>
  <c r="C77" i="7" s="1"/>
  <c r="C43" i="7" a="1"/>
  <c r="C43" i="7" s="1"/>
  <c r="C224" i="7" a="1"/>
  <c r="C224" i="7" s="1"/>
  <c r="C226" i="7" a="1"/>
  <c r="C226" i="7" s="1"/>
  <c r="C117" i="7" a="1"/>
  <c r="C117" i="7" s="1"/>
  <c r="C29" i="7" a="1"/>
  <c r="C29" i="7" s="1"/>
  <c r="C144" i="7" a="1"/>
  <c r="C144" i="7" s="1"/>
  <c r="C151" i="7" a="1"/>
  <c r="C151" i="7" s="1"/>
  <c r="C235" i="7" a="1"/>
  <c r="C235" i="7" s="1"/>
  <c r="C94" i="7" a="1"/>
  <c r="C94" i="7" s="1"/>
  <c r="C155" i="7" a="1"/>
  <c r="C155" i="7" s="1"/>
  <c r="C102" i="7" a="1"/>
  <c r="C102" i="7" s="1"/>
  <c r="C183" i="7" a="1"/>
  <c r="C183" i="7" s="1"/>
  <c r="C205" i="7" a="1"/>
  <c r="C205" i="7" s="1"/>
  <c r="C90" i="7" a="1"/>
  <c r="C90" i="7" s="1"/>
  <c r="C73" i="7" a="1"/>
  <c r="C73" i="7" s="1"/>
  <c r="C45" i="7" a="1"/>
  <c r="C45" i="7" s="1"/>
  <c r="C44" i="7" a="1"/>
  <c r="C44" i="7" s="1"/>
  <c r="C219" i="7" a="1"/>
  <c r="C219" i="7" s="1"/>
  <c r="C49" i="7" a="1"/>
  <c r="C49" i="7" s="1"/>
  <c r="C137" i="7" a="1"/>
  <c r="C137" i="7" s="1"/>
  <c r="C48" i="7" a="1"/>
  <c r="C48" i="7" s="1"/>
  <c r="C10" i="7" a="1"/>
  <c r="C10" i="7" s="1"/>
  <c r="C201" i="7" a="1"/>
  <c r="C201" i="7" s="1"/>
  <c r="F201" i="7" s="1"/>
  <c r="C188" i="7" a="1"/>
  <c r="C188" i="7" s="1"/>
  <c r="C172" i="7" a="1"/>
  <c r="C172" i="7" s="1"/>
  <c r="C114" i="7" a="1"/>
  <c r="C114" i="7" s="1"/>
  <c r="C230" i="7" a="1"/>
  <c r="C230" i="7" s="1"/>
  <c r="C84" i="7" a="1"/>
  <c r="C84" i="7" s="1"/>
  <c r="C47" i="7" a="1"/>
  <c r="C47" i="7" s="1"/>
  <c r="C189" i="7" a="1"/>
  <c r="C189" i="7" s="1"/>
  <c r="C15" i="7" a="1"/>
  <c r="C15" i="7" s="1"/>
  <c r="C139" i="7" a="1"/>
  <c r="C139" i="7" s="1"/>
  <c r="C176" i="7" a="1"/>
  <c r="C176" i="7" s="1"/>
  <c r="F176" i="7" s="1"/>
  <c r="C168" i="7" a="1"/>
  <c r="C168" i="7" s="1"/>
  <c r="C196" i="7" a="1"/>
  <c r="C196" i="7" s="1"/>
  <c r="C105" i="7" a="1"/>
  <c r="C105" i="7" s="1"/>
  <c r="C33" i="7" a="1"/>
  <c r="C33" i="7" s="1"/>
  <c r="C204" i="7" a="1"/>
  <c r="C204" i="7" s="1"/>
  <c r="C41" i="7" a="1"/>
  <c r="C41" i="7" s="1"/>
  <c r="C92" i="7" a="1"/>
  <c r="C92" i="7" s="1"/>
  <c r="C25" i="7" a="1"/>
  <c r="C25" i="7" s="1"/>
  <c r="C74" i="7" a="1"/>
  <c r="C74" i="7" s="1"/>
  <c r="C198" i="7" a="1"/>
  <c r="C198" i="7" s="1"/>
  <c r="C32" i="7" a="1"/>
  <c r="C32" i="7" s="1"/>
  <c r="C111" i="7" a="1"/>
  <c r="C111" i="7" s="1"/>
  <c r="C66" i="7" a="1"/>
  <c r="C66" i="7" s="1"/>
  <c r="C206" i="7" a="1"/>
  <c r="C206" i="7" s="1"/>
  <c r="C164" i="7" a="1"/>
  <c r="C164" i="7" s="1"/>
  <c r="C2" i="7" a="1"/>
  <c r="C2" i="7" s="1"/>
  <c r="C228" i="7" a="1"/>
  <c r="C228" i="7" s="1"/>
  <c r="C109" i="7" a="1"/>
  <c r="C109" i="7" s="1"/>
  <c r="C86" i="7" a="1"/>
  <c r="C86" i="7" s="1"/>
  <c r="C209" i="7" a="1"/>
  <c r="C209" i="7" s="1"/>
  <c r="C171" i="7" a="1"/>
  <c r="C171" i="7" s="1"/>
  <c r="C149" i="7" a="1"/>
  <c r="C149" i="7" s="1"/>
  <c r="C140" i="7" a="1"/>
  <c r="C140" i="7" s="1"/>
  <c r="C110" i="7" a="1"/>
  <c r="C110" i="7" s="1"/>
  <c r="C136" i="7" a="1"/>
  <c r="C136" i="7" s="1"/>
  <c r="C98" i="7" a="1"/>
  <c r="C98" i="7" s="1"/>
  <c r="E218" i="7" a="1"/>
  <c r="E218" i="7" s="1"/>
  <c r="D173" i="7" a="1"/>
  <c r="D173" i="7" s="1"/>
  <c r="E171" i="7" a="1"/>
  <c r="E171" i="7" s="1"/>
  <c r="D93" i="7" a="1"/>
  <c r="D93" i="7" s="1"/>
  <c r="D227" i="7" a="1"/>
  <c r="D227" i="7" s="1"/>
  <c r="E111" i="7" a="1"/>
  <c r="E111" i="7" s="1"/>
  <c r="D228" i="7" a="1"/>
  <c r="D228" i="7" s="1"/>
  <c r="D232" i="7" a="1"/>
  <c r="D232" i="7" s="1"/>
  <c r="E178" i="7" a="1"/>
  <c r="E178" i="7" s="1"/>
  <c r="E193" i="7" a="1"/>
  <c r="E193" i="7" s="1"/>
  <c r="E28" i="7" a="1"/>
  <c r="E28" i="7" s="1"/>
  <c r="E90" i="7" a="1"/>
  <c r="E90" i="7" s="1"/>
  <c r="E217" i="7" a="1"/>
  <c r="E217" i="7" s="1"/>
  <c r="C85" i="7" a="1"/>
  <c r="C85" i="7" s="1"/>
  <c r="C101" i="7" a="1"/>
  <c r="C101" i="7" s="1"/>
  <c r="C83" i="7" a="1"/>
  <c r="C83" i="7" s="1"/>
  <c r="C95" i="7" a="1"/>
  <c r="C95" i="7" s="1"/>
  <c r="C112" i="7" a="1"/>
  <c r="C112" i="7" s="1"/>
  <c r="C46" i="7" a="1"/>
  <c r="C46" i="7" s="1"/>
  <c r="C178" i="7" a="1"/>
  <c r="C178" i="7" s="1"/>
  <c r="C69" i="7" a="1"/>
  <c r="C69" i="7" s="1"/>
  <c r="D67" i="7" a="1"/>
  <c r="D67" i="7" s="1"/>
  <c r="E136" i="7" a="1"/>
  <c r="E136" i="7" s="1"/>
  <c r="E156" i="7" a="1"/>
  <c r="E156" i="7" s="1"/>
  <c r="D76" i="7" a="1"/>
  <c r="D76" i="7" s="1"/>
  <c r="D82" i="7" a="1"/>
  <c r="D82" i="7" s="1"/>
  <c r="E27" i="7" a="1"/>
  <c r="E27" i="7" s="1"/>
  <c r="E160" i="7" a="1"/>
  <c r="E160" i="7" s="1"/>
  <c r="E132" i="7" a="1"/>
  <c r="E132" i="7" s="1"/>
  <c r="D57" i="7" a="1"/>
  <c r="D57" i="7" s="1"/>
  <c r="D136" i="7" a="1"/>
  <c r="D136" i="7" s="1"/>
  <c r="E106" i="7" a="1"/>
  <c r="E106" i="7" s="1"/>
  <c r="E164" i="7" a="1"/>
  <c r="E164" i="7" s="1"/>
  <c r="D140" i="7" a="1"/>
  <c r="D140" i="7" s="1"/>
  <c r="E17" i="7" a="1"/>
  <c r="E17" i="7" s="1"/>
  <c r="E113" i="7" a="1"/>
  <c r="E113" i="7" s="1"/>
  <c r="D118" i="7" a="1"/>
  <c r="D118" i="7" s="1"/>
  <c r="C72" i="7" a="1"/>
  <c r="C72" i="7" s="1"/>
  <c r="C131" i="7" a="1"/>
  <c r="C131" i="7" s="1"/>
  <c r="F131" i="7" s="1"/>
  <c r="C21" i="7" a="1"/>
  <c r="C21" i="7" s="1"/>
  <c r="C121" i="7" a="1"/>
  <c r="C121" i="7" s="1"/>
  <c r="C199" i="7" a="1"/>
  <c r="C199" i="7" s="1"/>
  <c r="C197" i="7" a="1"/>
  <c r="C197" i="7" s="1"/>
  <c r="C215" i="7" a="1"/>
  <c r="C215" i="7" s="1"/>
  <c r="C38" i="7" a="1"/>
  <c r="C38" i="7" s="1"/>
  <c r="C71" i="7" a="1"/>
  <c r="C71" i="7" s="1"/>
  <c r="C146" i="7" a="1"/>
  <c r="C146" i="7" s="1"/>
  <c r="C31" i="7" a="1"/>
  <c r="C31" i="7" s="1"/>
  <c r="C128" i="7" a="1"/>
  <c r="C128" i="7" s="1"/>
  <c r="C232" i="7" a="1"/>
  <c r="C232" i="7" s="1"/>
  <c r="C106" i="7" a="1"/>
  <c r="C106" i="7" s="1"/>
  <c r="E40" i="7" a="1"/>
  <c r="E40" i="7" s="1"/>
  <c r="D212" i="7" a="1"/>
  <c r="D212" i="7" s="1"/>
  <c r="D171" i="7" a="1"/>
  <c r="D171" i="7" s="1"/>
  <c r="C75" i="7" a="1"/>
  <c r="C75" i="7" s="1"/>
  <c r="C193" i="7" a="1"/>
  <c r="C193" i="7" s="1"/>
  <c r="C229" i="7" a="1"/>
  <c r="C229" i="7" s="1"/>
  <c r="C152" i="7" a="1"/>
  <c r="C152" i="7" s="1"/>
  <c r="C182" i="7" a="1"/>
  <c r="C182" i="7" s="1"/>
  <c r="C145" i="7" a="1"/>
  <c r="C145" i="7" s="1"/>
  <c r="F145" i="7" s="1"/>
  <c r="C133" i="7" a="1"/>
  <c r="C133" i="7" s="1"/>
  <c r="C79" i="7" a="1"/>
  <c r="C79" i="7" s="1"/>
  <c r="C63" i="7" a="1"/>
  <c r="C63" i="7" s="1"/>
  <c r="F63" i="7" s="1"/>
  <c r="C181" i="7" a="1"/>
  <c r="C181" i="7" s="1"/>
  <c r="C56" i="7" a="1"/>
  <c r="C56" i="7" s="1"/>
  <c r="C91" i="7" a="1"/>
  <c r="C91" i="7" s="1"/>
  <c r="C53" i="7" a="1"/>
  <c r="C53" i="7" s="1"/>
  <c r="C227" i="7" a="1"/>
  <c r="C227" i="7" s="1"/>
  <c r="C99" i="7" a="1"/>
  <c r="C99" i="7" s="1"/>
  <c r="C93" i="7" a="1"/>
  <c r="C93" i="7" s="1"/>
  <c r="E42" i="7" a="1"/>
  <c r="E42" i="7" s="1"/>
  <c r="D167" i="7" a="1"/>
  <c r="D167" i="7" s="1"/>
  <c r="D105" i="7" a="1"/>
  <c r="D105" i="7" s="1"/>
  <c r="C59" i="7" a="1"/>
  <c r="C59" i="7" s="1"/>
  <c r="C100" i="7" a="1"/>
  <c r="C100" i="7" s="1"/>
  <c r="C119" i="7" a="1"/>
  <c r="C119" i="7" s="1"/>
  <c r="C78" i="7" a="1"/>
  <c r="C78" i="7" s="1"/>
  <c r="C64" i="7" a="1"/>
  <c r="C64" i="7" s="1"/>
  <c r="C87" i="7" a="1"/>
  <c r="C87" i="7" s="1"/>
  <c r="C159" i="7" a="1"/>
  <c r="C159" i="7" s="1"/>
  <c r="C173" i="7" a="1"/>
  <c r="C173" i="7" s="1"/>
  <c r="C88" i="7" a="1"/>
  <c r="C88" i="7" s="1"/>
  <c r="D52" i="7" a="1"/>
  <c r="D52" i="7" s="1"/>
  <c r="E82" i="7" a="1"/>
  <c r="E82" i="7" s="1"/>
  <c r="E189" i="7" a="1"/>
  <c r="E189" i="7" s="1"/>
  <c r="D149" i="7" a="1"/>
  <c r="D149" i="7" s="1"/>
  <c r="D14" i="7" a="1"/>
  <c r="D14" i="7" s="1"/>
  <c r="C55" i="7" a="1"/>
  <c r="C55" i="7" s="1"/>
  <c r="D132" i="7" a="1"/>
  <c r="D132" i="7" s="1"/>
  <c r="E126" i="7" a="1"/>
  <c r="E126" i="7" s="1"/>
  <c r="D22" i="7" a="1"/>
  <c r="D22" i="7" s="1"/>
  <c r="E120" i="7" a="1"/>
  <c r="E120" i="7" s="1"/>
  <c r="E91" i="7" a="1"/>
  <c r="E91" i="7" s="1"/>
  <c r="D222" i="7" a="1"/>
  <c r="D222" i="7" s="1"/>
  <c r="E170" i="7" a="1"/>
  <c r="E170" i="7" s="1"/>
  <c r="D219" i="7" a="1"/>
  <c r="D219" i="7" s="1"/>
  <c r="D30" i="7" a="1"/>
  <c r="D30" i="7" s="1"/>
  <c r="E195" i="7" a="1"/>
  <c r="E195" i="7" s="1"/>
  <c r="E115" i="7" a="1"/>
  <c r="E115" i="7" s="1"/>
  <c r="D223" i="7" a="1"/>
  <c r="D223" i="7" s="1"/>
  <c r="D181" i="7" a="1"/>
  <c r="D181" i="7" s="1"/>
  <c r="C222" i="7" a="1"/>
  <c r="C222" i="7" s="1"/>
  <c r="C39" i="7" a="1"/>
  <c r="C39" i="7" s="1"/>
  <c r="F39" i="7" s="1"/>
  <c r="E109" i="7" a="1"/>
  <c r="E109" i="7" s="1"/>
  <c r="D195" i="7" a="1"/>
  <c r="D195" i="7" s="1"/>
  <c r="D101" i="7" a="1"/>
  <c r="D101" i="7" s="1"/>
  <c r="E51" i="7" a="1"/>
  <c r="E51" i="7" s="1"/>
  <c r="D120" i="7" a="1"/>
  <c r="D120" i="7" s="1"/>
  <c r="D79" i="7" a="1"/>
  <c r="D79" i="7" s="1"/>
  <c r="D12" i="7" a="1"/>
  <c r="D12" i="7" s="1"/>
  <c r="E23" i="7" a="1"/>
  <c r="E23" i="7" s="1"/>
  <c r="E45" i="7" a="1"/>
  <c r="E45" i="7" s="1"/>
  <c r="D20" i="7" a="1"/>
  <c r="D20" i="7" s="1"/>
  <c r="D13" i="7" a="1"/>
  <c r="D13" i="7" s="1"/>
  <c r="E163" i="7" a="1"/>
  <c r="E163" i="7" s="1"/>
  <c r="D19" i="7" a="1"/>
  <c r="D19" i="7" s="1"/>
  <c r="E53" i="7" a="1"/>
  <c r="E53" i="7" s="1"/>
  <c r="E96" i="7" a="1"/>
  <c r="E96" i="7" s="1"/>
  <c r="E207" i="7" a="1"/>
  <c r="E207" i="7" s="1"/>
  <c r="E191" i="7" a="1"/>
  <c r="E191" i="7" s="1"/>
  <c r="C51" i="7" a="1"/>
  <c r="C51" i="7" s="1"/>
  <c r="C165" i="7" a="1"/>
  <c r="C165" i="7" s="1"/>
  <c r="C116" i="7" a="1"/>
  <c r="C116" i="7" s="1"/>
  <c r="D141" i="7" a="1"/>
  <c r="D141" i="7" s="1"/>
  <c r="D70" i="7" a="1"/>
  <c r="D70" i="7" s="1"/>
  <c r="E192" i="7" a="1"/>
  <c r="E192" i="7" s="1"/>
  <c r="E203" i="7" a="1"/>
  <c r="E203" i="7" s="1"/>
  <c r="D172" i="7" a="1"/>
  <c r="D172" i="7" s="1"/>
  <c r="D64" i="7" a="1"/>
  <c r="D64" i="7" s="1"/>
  <c r="D161" i="7" a="1"/>
  <c r="D161" i="7" s="1"/>
  <c r="E225" i="7" a="1"/>
  <c r="E225" i="7" s="1"/>
  <c r="E231" i="7" a="1"/>
  <c r="E231" i="7" s="1"/>
  <c r="C50" i="7" a="1"/>
  <c r="C50" i="7" s="1"/>
  <c r="C190" i="7" a="1"/>
  <c r="C190" i="7" s="1"/>
  <c r="C202" i="7" a="1"/>
  <c r="C202" i="7" s="1"/>
  <c r="D190" i="7" a="1"/>
  <c r="D190" i="7" s="1"/>
  <c r="D9" i="7" a="1"/>
  <c r="D9" i="7" s="1"/>
  <c r="D214" i="7" a="1"/>
  <c r="D214" i="7" s="1"/>
  <c r="C156" i="7" a="1"/>
  <c r="C156" i="7" s="1"/>
  <c r="D199" i="7" a="1"/>
  <c r="D199" i="7" s="1"/>
  <c r="E219" i="7" a="1"/>
  <c r="E219" i="7" s="1"/>
  <c r="D216" i="7" a="1"/>
  <c r="D216" i="7" s="1"/>
  <c r="E71" i="7" a="1"/>
  <c r="E71" i="7" s="1"/>
  <c r="E211" i="7" a="1"/>
  <c r="E211" i="7" s="1"/>
  <c r="E22" i="7" a="1"/>
  <c r="E22" i="7" s="1"/>
  <c r="D133" i="7" a="1"/>
  <c r="D133" i="7" s="1"/>
  <c r="E153" i="7" a="1"/>
  <c r="E153" i="7" s="1"/>
  <c r="D197" i="7" a="1"/>
  <c r="D197" i="7" s="1"/>
  <c r="E162" i="7" a="1"/>
  <c r="E162" i="7" s="1"/>
  <c r="E25" i="7" a="1"/>
  <c r="E25" i="7" s="1"/>
  <c r="E227" i="7" a="1"/>
  <c r="E227" i="7" s="1"/>
  <c r="E158" i="7" a="1"/>
  <c r="E158" i="7" s="1"/>
  <c r="D74" i="7" a="1"/>
  <c r="D74" i="7" s="1"/>
  <c r="E43" i="7" a="1"/>
  <c r="E43" i="7" s="1"/>
  <c r="C214" i="7" a="1"/>
  <c r="C214" i="7" s="1"/>
  <c r="C148" i="7" a="1"/>
  <c r="C148" i="7" s="1"/>
  <c r="C185" i="7" a="1"/>
  <c r="C185" i="7" s="1"/>
  <c r="E210" i="7" a="1"/>
  <c r="E210" i="7" s="1"/>
  <c r="E228" i="7" a="1"/>
  <c r="E228" i="7" s="1"/>
  <c r="D182" i="7" a="1"/>
  <c r="D182" i="7" s="1"/>
  <c r="D230" i="7" a="1"/>
  <c r="D230" i="7" s="1"/>
  <c r="E151" i="7" a="1"/>
  <c r="E151" i="7" s="1"/>
  <c r="D87" i="7" a="1"/>
  <c r="D87" i="7" s="1"/>
  <c r="D97" i="7" a="1"/>
  <c r="D97" i="7" s="1"/>
  <c r="D69" i="7" a="1"/>
  <c r="D69" i="7" s="1"/>
  <c r="E93" i="7" a="1"/>
  <c r="E93" i="7" s="1"/>
  <c r="D116" i="7" a="1"/>
  <c r="D116" i="7" s="1"/>
  <c r="E67" i="7" a="1"/>
  <c r="E67" i="7" s="1"/>
  <c r="D210" i="7" a="1"/>
  <c r="D210" i="7" s="1"/>
  <c r="D60" i="7" a="1"/>
  <c r="D60" i="7" s="1"/>
  <c r="E6" i="7" a="1"/>
  <c r="E6" i="7" s="1"/>
  <c r="D235" i="7" a="1"/>
  <c r="D235" i="7" s="1"/>
  <c r="E166" i="7" a="1"/>
  <c r="E166" i="7" s="1"/>
  <c r="E174" i="7" a="1"/>
  <c r="E174" i="7" s="1"/>
  <c r="D147" i="7" a="1"/>
  <c r="D147" i="7" s="1"/>
  <c r="D206" i="7" a="1"/>
  <c r="D206" i="7" s="1"/>
  <c r="D29" i="7" a="1"/>
  <c r="D29" i="7" s="1"/>
  <c r="E92" i="7" a="1"/>
  <c r="E92" i="7" s="1"/>
  <c r="D17" i="7" a="1"/>
  <c r="D17" i="7" s="1"/>
  <c r="E48" i="7" a="1"/>
  <c r="E48" i="7" s="1"/>
  <c r="E94" i="7" a="1"/>
  <c r="E94" i="7" s="1"/>
  <c r="E177" i="7" a="1"/>
  <c r="E177" i="7" s="1"/>
  <c r="E102" i="7" a="1"/>
  <c r="E102" i="7" s="1"/>
  <c r="D107" i="7" a="1"/>
  <c r="D107" i="7" s="1"/>
  <c r="E83" i="7" a="1"/>
  <c r="E83" i="7" s="1"/>
  <c r="E167" i="7" a="1"/>
  <c r="E167" i="7" s="1"/>
  <c r="E74" i="7" a="1"/>
  <c r="E74" i="7" s="1"/>
  <c r="D86" i="7" a="1"/>
  <c r="D86" i="7" s="1"/>
  <c r="D162" i="7" a="1"/>
  <c r="D162" i="7" s="1"/>
  <c r="D207" i="7" a="1"/>
  <c r="D207" i="7" s="1"/>
  <c r="D27" i="7" a="1"/>
  <c r="D27" i="7" s="1"/>
  <c r="D28" i="7" a="1"/>
  <c r="D28" i="7" s="1"/>
  <c r="E99" i="7" a="1"/>
  <c r="E99" i="7" s="1"/>
  <c r="E76" i="7" a="1"/>
  <c r="E76" i="7" s="1"/>
  <c r="E142" i="7" a="1"/>
  <c r="E142" i="7" s="1"/>
  <c r="D85" i="7" a="1"/>
  <c r="D85" i="7" s="1"/>
  <c r="D122" i="7" a="1"/>
  <c r="D122" i="7" s="1"/>
  <c r="D203" i="7" a="1"/>
  <c r="D203" i="7" s="1"/>
  <c r="E13" i="7" a="1"/>
  <c r="E13" i="7" s="1"/>
  <c r="E66" i="7" a="1"/>
  <c r="E66" i="7" s="1"/>
  <c r="E138" i="7" a="1"/>
  <c r="E138" i="7" s="1"/>
  <c r="E55" i="7" a="1"/>
  <c r="E55" i="7" s="1"/>
  <c r="E47" i="7" a="1"/>
  <c r="E47" i="7" s="1"/>
  <c r="E10" i="7" a="1"/>
  <c r="E10" i="7" s="1"/>
  <c r="D193" i="7" a="1"/>
  <c r="D193" i="7" s="1"/>
  <c r="D90" i="7" a="1"/>
  <c r="D90" i="7" s="1"/>
  <c r="C96" i="7" a="1"/>
  <c r="C96" i="7" s="1"/>
  <c r="D165" i="7" a="1"/>
  <c r="D165" i="7" s="1"/>
  <c r="E140" i="7" a="1"/>
  <c r="E140" i="7" s="1"/>
  <c r="D196" i="7" a="1"/>
  <c r="D196" i="7" s="1"/>
  <c r="E181" i="7" a="1"/>
  <c r="E181" i="7" s="1"/>
  <c r="D88" i="7" a="1"/>
  <c r="D88" i="7" s="1"/>
  <c r="E196" i="7" a="1"/>
  <c r="E196" i="7" s="1"/>
  <c r="D10" i="7" a="1"/>
  <c r="D10" i="7" s="1"/>
  <c r="E139" i="7" a="1"/>
  <c r="E139" i="7" s="1"/>
  <c r="E133" i="7" a="1"/>
  <c r="E133" i="7" s="1"/>
  <c r="E197" i="7" a="1"/>
  <c r="E197" i="7" s="1"/>
  <c r="D184" i="7" a="1"/>
  <c r="D184" i="7" s="1"/>
  <c r="D23" i="7" a="1"/>
  <c r="D23" i="7" s="1"/>
  <c r="D109" i="7" a="1"/>
  <c r="D109" i="7" s="1"/>
  <c r="D54" i="7" a="1"/>
  <c r="D54" i="7" s="1"/>
  <c r="E130" i="7" a="1"/>
  <c r="E130" i="7" s="1"/>
  <c r="D144" i="7" a="1"/>
  <c r="D144" i="7" s="1"/>
  <c r="D137" i="7" a="1"/>
  <c r="D137" i="7" s="1"/>
  <c r="D59" i="7" a="1"/>
  <c r="D59" i="7" s="1"/>
  <c r="D226" i="7" a="1"/>
  <c r="D226" i="7" s="1"/>
  <c r="D5" i="7" a="1"/>
  <c r="D5" i="7" s="1"/>
  <c r="E38" i="7" a="1"/>
  <c r="E38" i="7" s="1"/>
  <c r="E182" i="7" a="1"/>
  <c r="E182" i="7" s="1"/>
  <c r="D98" i="7" a="1"/>
  <c r="D98" i="7" s="1"/>
  <c r="D75" i="7" a="1"/>
  <c r="D75" i="7" s="1"/>
  <c r="E116" i="7" a="1"/>
  <c r="E116" i="7" s="1"/>
  <c r="E41" i="7" a="1"/>
  <c r="E41" i="7" s="1"/>
  <c r="E224" i="7" a="1"/>
  <c r="E224" i="7" s="1"/>
  <c r="D24" i="7" a="1"/>
  <c r="D24" i="7" s="1"/>
  <c r="D218" i="7" a="1"/>
  <c r="D218" i="7" s="1"/>
  <c r="E212" i="7" a="1"/>
  <c r="E212" i="7" s="1"/>
  <c r="D72" i="7" a="1"/>
  <c r="D72" i="7" s="1"/>
  <c r="E18" i="7" a="1"/>
  <c r="E18" i="7" s="1"/>
  <c r="E5" i="7" a="1"/>
  <c r="E5" i="7" s="1"/>
  <c r="E135" i="7" a="1"/>
  <c r="E135" i="7" s="1"/>
  <c r="D152" i="7" a="1"/>
  <c r="D152" i="7" s="1"/>
  <c r="E88" i="7" a="1"/>
  <c r="E88" i="7" s="1"/>
  <c r="D91" i="7" a="1"/>
  <c r="D91" i="7" s="1"/>
  <c r="D61" i="7" a="1"/>
  <c r="D61" i="7" s="1"/>
  <c r="E11" i="7" a="1"/>
  <c r="E11" i="7" s="1"/>
  <c r="D231" i="7" a="1"/>
  <c r="D231" i="7" s="1"/>
  <c r="D153" i="7" a="1"/>
  <c r="D153" i="7" s="1"/>
  <c r="D192" i="7" a="1"/>
  <c r="D192" i="7" s="1"/>
  <c r="E84" i="7" a="1"/>
  <c r="E84" i="7" s="1"/>
  <c r="E29" i="7" a="1"/>
  <c r="E29" i="7" s="1"/>
  <c r="E161" i="7" a="1"/>
  <c r="E161" i="7" s="1"/>
  <c r="D119" i="7" a="1"/>
  <c r="D119" i="7" s="1"/>
  <c r="C65" i="7" a="1"/>
  <c r="C65" i="7" s="1"/>
  <c r="D194" i="7" a="1"/>
  <c r="D194" i="7" s="1"/>
  <c r="E154" i="7" a="1"/>
  <c r="E154" i="7" s="1"/>
  <c r="E122" i="7" a="1"/>
  <c r="E122" i="7" s="1"/>
  <c r="E61" i="7" a="1"/>
  <c r="E61" i="7" s="1"/>
  <c r="E141" i="7" a="1"/>
  <c r="E141" i="7" s="1"/>
  <c r="E229" i="7" a="1"/>
  <c r="E229" i="7" s="1"/>
  <c r="D50" i="7" a="1"/>
  <c r="D50" i="7" s="1"/>
  <c r="D34" i="7" a="1"/>
  <c r="D34" i="7" s="1"/>
  <c r="D180" i="7" a="1"/>
  <c r="D180" i="7" s="1"/>
  <c r="D84" i="7" a="1"/>
  <c r="D84" i="7" s="1"/>
  <c r="D68" i="7" a="1"/>
  <c r="D68" i="7" s="1"/>
  <c r="D81" i="7" a="1"/>
  <c r="D81" i="7" s="1"/>
  <c r="E50" i="7" a="1"/>
  <c r="E50" i="7" s="1"/>
  <c r="E52" i="7" a="1"/>
  <c r="E52" i="7" s="1"/>
  <c r="D204" i="7" a="1"/>
  <c r="D204" i="7" s="1"/>
  <c r="D31" i="7" a="1"/>
  <c r="D31" i="7" s="1"/>
  <c r="E77" i="7" a="1"/>
  <c r="E77" i="7" s="1"/>
  <c r="E33" i="7" a="1"/>
  <c r="E33" i="7" s="1"/>
  <c r="D198" i="7" a="1"/>
  <c r="D198" i="7" s="1"/>
  <c r="D99" i="7" a="1"/>
  <c r="D99" i="7" s="1"/>
  <c r="D73" i="7" a="1"/>
  <c r="D73" i="7" s="1"/>
  <c r="D96" i="7" a="1"/>
  <c r="D96" i="7" s="1"/>
  <c r="D200" i="7" a="1"/>
  <c r="D200" i="7" s="1"/>
  <c r="D38" i="7" a="1"/>
  <c r="D38" i="7" s="1"/>
  <c r="E103" i="7" a="1"/>
  <c r="E103" i="7" s="1"/>
  <c r="D187" i="7" a="1"/>
  <c r="D187" i="7" s="1"/>
  <c r="D185" i="7" a="1"/>
  <c r="D185" i="7" s="1"/>
  <c r="E200" i="7" a="1"/>
  <c r="E200" i="7" s="1"/>
  <c r="E4" i="7" a="1"/>
  <c r="E4" i="7" s="1"/>
  <c r="E19" i="7" a="1"/>
  <c r="E19" i="7" s="1"/>
  <c r="D25" i="7" a="1"/>
  <c r="D25" i="7" s="1"/>
  <c r="D125" i="7" a="1"/>
  <c r="D125" i="7" s="1"/>
  <c r="E118" i="7" a="1"/>
  <c r="E118" i="7" s="1"/>
  <c r="E206" i="7" a="1"/>
  <c r="E206" i="7" s="1"/>
  <c r="E216" i="7" a="1"/>
  <c r="E216" i="7" s="1"/>
  <c r="D224" i="7" a="1"/>
  <c r="D224" i="7" s="1"/>
  <c r="E175" i="7" a="1"/>
  <c r="E175" i="7" s="1"/>
  <c r="D158" i="7" a="1"/>
  <c r="D158" i="7" s="1"/>
  <c r="D179" i="7" a="1"/>
  <c r="D179" i="7" s="1"/>
  <c r="D170" i="7" a="1"/>
  <c r="D170" i="7" s="1"/>
  <c r="C138" i="7" a="1"/>
  <c r="C138" i="7" s="1"/>
  <c r="E112" i="7" a="1"/>
  <c r="E112" i="7" s="1"/>
  <c r="E44" i="7" a="1"/>
  <c r="E44" i="7" s="1"/>
  <c r="E168" i="7" a="1"/>
  <c r="E168" i="7" s="1"/>
  <c r="D43" i="7" a="1"/>
  <c r="D43" i="7" s="1"/>
  <c r="D205" i="7" a="1"/>
  <c r="D205" i="7" s="1"/>
  <c r="D16" i="7" a="1"/>
  <c r="D16" i="7" s="1"/>
  <c r="D155" i="7" a="1"/>
  <c r="D155" i="7" s="1"/>
  <c r="E232" i="7" a="1"/>
  <c r="E232" i="7" s="1"/>
  <c r="E144" i="7" a="1"/>
  <c r="E144" i="7" s="1"/>
  <c r="D208" i="7" a="1"/>
  <c r="D208" i="7" s="1"/>
  <c r="E127" i="7" a="1"/>
  <c r="E127" i="7" s="1"/>
  <c r="D215" i="7" a="1"/>
  <c r="D215" i="7" s="1"/>
  <c r="E172" i="7" a="1"/>
  <c r="E172" i="7" s="1"/>
  <c r="E104" i="7" a="1"/>
  <c r="E104" i="7" s="1"/>
  <c r="D7" i="7" a="1"/>
  <c r="D7" i="7" s="1"/>
  <c r="E226" i="7" a="1"/>
  <c r="E226" i="7" s="1"/>
  <c r="E78" i="7" a="1"/>
  <c r="E78" i="7" s="1"/>
  <c r="D174" i="7" a="1"/>
  <c r="D174" i="7" s="1"/>
  <c r="E72" i="7" a="1"/>
  <c r="E72" i="7" s="1"/>
  <c r="D189" i="7" a="1"/>
  <c r="D189" i="7" s="1"/>
  <c r="E134" i="7" a="1"/>
  <c r="E134" i="7" s="1"/>
  <c r="E128" i="7" a="1"/>
  <c r="E128" i="7" s="1"/>
  <c r="C192" i="7" a="1"/>
  <c r="C192" i="7" s="1"/>
  <c r="D51" i="7" a="1"/>
  <c r="D51" i="7" s="1"/>
  <c r="D89" i="7" a="1"/>
  <c r="D89" i="7" s="1"/>
  <c r="E62" i="7" a="1"/>
  <c r="E62" i="7" s="1"/>
  <c r="D202" i="7" a="1"/>
  <c r="D202" i="7" s="1"/>
  <c r="D117" i="7" a="1"/>
  <c r="D117" i="7" s="1"/>
  <c r="D111" i="7" a="1"/>
  <c r="D111" i="7" s="1"/>
  <c r="E57" i="7" a="1"/>
  <c r="E57" i="7" s="1"/>
  <c r="D220" i="7" a="1"/>
  <c r="D220" i="7" s="1"/>
  <c r="E16" i="7" a="1"/>
  <c r="E16" i="7" s="1"/>
  <c r="D66" i="7" a="1"/>
  <c r="D66" i="7" s="1"/>
  <c r="E21" i="7" a="1"/>
  <c r="E21" i="7" s="1"/>
  <c r="D164" i="7" a="1"/>
  <c r="D164" i="7" s="1"/>
  <c r="E86" i="7" a="1"/>
  <c r="E86" i="7" s="1"/>
  <c r="D8" i="7" a="1"/>
  <c r="D8" i="7" s="1"/>
  <c r="E199" i="7" a="1"/>
  <c r="E199" i="7" s="1"/>
  <c r="C103" i="7" a="1"/>
  <c r="C103" i="7" s="1"/>
  <c r="E60" i="7" a="1"/>
  <c r="E60" i="7" s="1"/>
  <c r="E159" i="7" a="1"/>
  <c r="E159" i="7" s="1"/>
  <c r="D129" i="7" a="1"/>
  <c r="D129" i="7" s="1"/>
  <c r="D46" i="7" a="1"/>
  <c r="D46" i="7" s="1"/>
  <c r="D6" i="7" a="1"/>
  <c r="D6" i="7" s="1"/>
  <c r="D217" i="7" a="1"/>
  <c r="D217" i="7" s="1"/>
  <c r="E235" i="7" a="1"/>
  <c r="E235" i="7" s="1"/>
  <c r="E65" i="7" a="1"/>
  <c r="E65" i="7" s="1"/>
  <c r="E80" i="7" a="1"/>
  <c r="E80" i="7" s="1"/>
  <c r="E9" i="7" a="1"/>
  <c r="E9" i="7" s="1"/>
  <c r="E110" i="7" a="1"/>
  <c r="E110" i="7" s="1"/>
  <c r="D83" i="7" a="1"/>
  <c r="D83" i="7" s="1"/>
  <c r="E194" i="7" a="1"/>
  <c r="E194" i="7" s="1"/>
  <c r="D188" i="7" a="1"/>
  <c r="D188" i="7" s="1"/>
  <c r="E173" i="7" a="1"/>
  <c r="E173" i="7" s="1"/>
  <c r="E220" i="7" a="1"/>
  <c r="E220" i="7" s="1"/>
  <c r="D3" i="7" a="1"/>
  <c r="D3" i="7" s="1"/>
  <c r="D78" i="7" a="1"/>
  <c r="D78" i="7" s="1"/>
  <c r="E64" i="7" a="1"/>
  <c r="E64" i="7" s="1"/>
  <c r="D127" i="7" a="1"/>
  <c r="D127" i="7" s="1"/>
  <c r="D211" i="7" a="1"/>
  <c r="D211" i="7" s="1"/>
  <c r="E30" i="7" a="1"/>
  <c r="E30" i="7" s="1"/>
  <c r="E31" i="7" a="1"/>
  <c r="E31" i="7" s="1"/>
  <c r="D178" i="7" a="1"/>
  <c r="D178" i="7" s="1"/>
  <c r="D169" i="7" a="1"/>
  <c r="D169" i="7" s="1"/>
  <c r="D213" i="7" a="1"/>
  <c r="D213" i="7" s="1"/>
  <c r="E81" i="7" a="1"/>
  <c r="E81" i="7" s="1"/>
  <c r="E202" i="7" a="1"/>
  <c r="E202" i="7" s="1"/>
  <c r="E123" i="7" a="1"/>
  <c r="E123" i="7" s="1"/>
  <c r="D143" i="7" a="1"/>
  <c r="D143" i="7" s="1"/>
  <c r="D113" i="7" a="1"/>
  <c r="D113" i="7" s="1"/>
  <c r="E87" i="7" a="1"/>
  <c r="E87" i="7" s="1"/>
  <c r="E215" i="7" a="1"/>
  <c r="E215" i="7" s="1"/>
  <c r="E101" i="7" a="1"/>
  <c r="E101" i="7" s="1"/>
  <c r="D139" i="7" a="1"/>
  <c r="D139" i="7" s="1"/>
  <c r="D110" i="7" a="1"/>
  <c r="D110" i="7" s="1"/>
  <c r="D183" i="7" a="1"/>
  <c r="D183" i="7" s="1"/>
  <c r="E146" i="7" a="1"/>
  <c r="E146" i="7" s="1"/>
  <c r="D92" i="7" a="1"/>
  <c r="D92" i="7" s="1"/>
  <c r="D56" i="7" a="1"/>
  <c r="D56" i="7" s="1"/>
  <c r="D134" i="7" a="1"/>
  <c r="D134" i="7" s="1"/>
  <c r="E213" i="7" a="1"/>
  <c r="E213" i="7" s="1"/>
  <c r="E95" i="7" a="1"/>
  <c r="E95" i="7" s="1"/>
  <c r="D209" i="7" a="1"/>
  <c r="D209" i="7" s="1"/>
  <c r="D159" i="7" a="1"/>
  <c r="D159" i="7" s="1"/>
  <c r="D177" i="7" a="1"/>
  <c r="D177" i="7" s="1"/>
  <c r="E108" i="7" a="1"/>
  <c r="E108" i="7" s="1"/>
  <c r="E119" i="7" a="1"/>
  <c r="E119" i="7" s="1"/>
  <c r="D150" i="7" a="1"/>
  <c r="D150" i="7" s="1"/>
  <c r="E79" i="7" a="1"/>
  <c r="E79" i="7" s="1"/>
  <c r="D166" i="7" a="1"/>
  <c r="D166" i="7" s="1"/>
  <c r="D115" i="7" a="1"/>
  <c r="D115" i="7" s="1"/>
  <c r="D160" i="7" a="1"/>
  <c r="D160" i="7" s="1"/>
  <c r="D103" i="7" a="1"/>
  <c r="D103" i="7" s="1"/>
  <c r="D135" i="7" a="1"/>
  <c r="D135" i="7" s="1"/>
  <c r="D148" i="7" a="1"/>
  <c r="D148" i="7" s="1"/>
  <c r="E234" i="7" a="1"/>
  <c r="E234" i="7" s="1"/>
  <c r="D11" i="7" a="1"/>
  <c r="D11" i="7" s="1"/>
  <c r="D114" i="7" a="1"/>
  <c r="D114" i="7" s="1"/>
  <c r="E35" i="7" a="1"/>
  <c r="E35" i="7" s="1"/>
  <c r="E98" i="7" a="1"/>
  <c r="E98" i="7" s="1"/>
  <c r="E190" i="7" a="1"/>
  <c r="E190" i="7" s="1"/>
  <c r="E85" i="7" a="1"/>
  <c r="E85" i="7" s="1"/>
  <c r="D94" i="7" a="1"/>
  <c r="D94" i="7" s="1"/>
  <c r="E137" i="7" a="1"/>
  <c r="E137" i="7" s="1"/>
  <c r="D108" i="7" a="1"/>
  <c r="D108" i="7" s="1"/>
  <c r="D163" i="7" a="1"/>
  <c r="D163" i="7" s="1"/>
  <c r="D32" i="7" a="1"/>
  <c r="D32" i="7" s="1"/>
  <c r="E198" i="7" a="1"/>
  <c r="E198" i="7" s="1"/>
  <c r="D142" i="7" a="1"/>
  <c r="D142" i="7" s="1"/>
  <c r="E20" i="7" a="1"/>
  <c r="E20" i="7" s="1"/>
  <c r="E2" i="7" a="1"/>
  <c r="E2" i="7" s="1"/>
  <c r="E34" i="7" a="1"/>
  <c r="E34" i="7" s="1"/>
  <c r="E68" i="7" a="1"/>
  <c r="E68" i="7" s="1"/>
  <c r="E8" i="7" a="1"/>
  <c r="E8" i="7" s="1"/>
  <c r="B183" i="7" a="1"/>
  <c r="B183" i="7" s="1"/>
  <c r="B28" i="7" a="1"/>
  <c r="B28" i="7" s="1"/>
  <c r="B87" i="7" a="1"/>
  <c r="B87" i="7" s="1"/>
  <c r="B203" i="7" a="1"/>
  <c r="B203" i="7" s="1"/>
  <c r="B35" i="7" a="1"/>
  <c r="B35" i="7" s="1"/>
  <c r="B32" i="7" a="1"/>
  <c r="B32" i="7" s="1"/>
  <c r="B30" i="7" a="1"/>
  <c r="B30" i="7" s="1"/>
  <c r="B73" i="7" a="1"/>
  <c r="B73" i="7" s="1"/>
  <c r="B83" i="7" a="1"/>
  <c r="B83" i="7" s="1"/>
  <c r="B169" i="7" a="1"/>
  <c r="B169" i="7" s="1"/>
  <c r="B121" i="7" a="1"/>
  <c r="B121" i="7" s="1"/>
  <c r="B94" i="7" a="1"/>
  <c r="B94" i="7" s="1"/>
  <c r="B64" i="7" a="1"/>
  <c r="B64" i="7" s="1"/>
  <c r="B225" i="7" a="1"/>
  <c r="B225" i="7" s="1"/>
  <c r="B154" i="7" a="1"/>
  <c r="B154" i="7" s="1"/>
  <c r="B119" i="7" a="1"/>
  <c r="B119" i="7" s="1"/>
  <c r="B151" i="7" a="1"/>
  <c r="B151" i="7" s="1"/>
  <c r="B20" i="7" a="1"/>
  <c r="B20" i="7" s="1"/>
  <c r="B185" i="7" a="1"/>
  <c r="B185" i="7" s="1"/>
  <c r="B104" i="7" a="1"/>
  <c r="B104" i="7" s="1"/>
  <c r="B204" i="7" a="1"/>
  <c r="B204" i="7" s="1"/>
  <c r="B146" i="7" a="1"/>
  <c r="B146" i="7" s="1"/>
  <c r="B114" i="7" a="1"/>
  <c r="B114" i="7" s="1"/>
  <c r="B184" i="7" a="1"/>
  <c r="B184" i="7" s="1"/>
  <c r="B61" i="7" a="1"/>
  <c r="B61" i="7" s="1"/>
  <c r="B96" i="7" a="1"/>
  <c r="B96" i="7" s="1"/>
  <c r="B100" i="7" a="1"/>
  <c r="B100" i="7" s="1"/>
  <c r="B131" i="7" a="1"/>
  <c r="B131" i="7" s="1"/>
  <c r="B137" i="7" a="1"/>
  <c r="B137" i="7" s="1"/>
  <c r="B112" i="7" a="1"/>
  <c r="B112" i="7" s="1"/>
  <c r="B172" i="7" a="1"/>
  <c r="B172" i="7" s="1"/>
  <c r="B144" i="7" a="1"/>
  <c r="B144" i="7" s="1"/>
  <c r="B55" i="7" a="1"/>
  <c r="B55" i="7" s="1"/>
  <c r="B15" i="7" a="1"/>
  <c r="B15" i="7" s="1"/>
  <c r="B17" i="7" a="1"/>
  <c r="B17" i="7" s="1"/>
  <c r="B102" i="7" a="1"/>
  <c r="B102" i="7" s="1"/>
  <c r="B54" i="7" a="1"/>
  <c r="B54" i="7" s="1"/>
  <c r="B207" i="7" a="1"/>
  <c r="B207" i="7" s="1"/>
  <c r="B103" i="7" a="1"/>
  <c r="B103" i="7" s="1"/>
  <c r="B82" i="7" a="1"/>
  <c r="B82" i="7" s="1"/>
  <c r="B164" i="7" a="1"/>
  <c r="B164" i="7" s="1"/>
  <c r="B206" i="7" a="1"/>
  <c r="B206" i="7" s="1"/>
  <c r="B98" i="7" a="1"/>
  <c r="B98" i="7" s="1"/>
  <c r="B105" i="7" a="1"/>
  <c r="B105" i="7" s="1"/>
  <c r="B58" i="7" a="1"/>
  <c r="B58" i="7" s="1"/>
  <c r="B136" i="7" a="1"/>
  <c r="B136" i="7" s="1"/>
  <c r="B109" i="7" a="1"/>
  <c r="B109" i="7" s="1"/>
  <c r="B21" i="7" a="1"/>
  <c r="B21" i="7" s="1"/>
  <c r="B113" i="7" a="1"/>
  <c r="B113" i="7" s="1"/>
  <c r="B148" i="7" a="1"/>
  <c r="B148" i="7" s="1"/>
  <c r="B221" i="7" a="1"/>
  <c r="B221" i="7" s="1"/>
  <c r="B25" i="7" a="1"/>
  <c r="B25" i="7" s="1"/>
  <c r="B181" i="7" a="1"/>
  <c r="B181" i="7" s="1"/>
  <c r="B152" i="7" a="1"/>
  <c r="B152" i="7" s="1"/>
  <c r="B19" i="7" a="1"/>
  <c r="B19" i="7" s="1"/>
  <c r="B223" i="7" a="1"/>
  <c r="B223" i="7" s="1"/>
  <c r="B18" i="7" a="1"/>
  <c r="B18" i="7" s="1"/>
  <c r="B180" i="7" a="1"/>
  <c r="B180" i="7" s="1"/>
  <c r="B36" i="7" a="1"/>
  <c r="B36" i="7" s="1"/>
  <c r="B235" i="7" a="1"/>
  <c r="B235" i="7" s="1"/>
  <c r="B99" i="7" a="1"/>
  <c r="B99" i="7" s="1"/>
  <c r="B13" i="7" a="1"/>
  <c r="B13" i="7" s="1"/>
  <c r="B70" i="7" a="1"/>
  <c r="B70" i="7" s="1"/>
  <c r="B85" i="7" a="1"/>
  <c r="B85" i="7" s="1"/>
  <c r="B150" i="7" a="1"/>
  <c r="B150" i="7" s="1"/>
  <c r="B43" i="7" a="1"/>
  <c r="B43" i="7" s="1"/>
  <c r="B193" i="7" a="1"/>
  <c r="B193" i="7" s="1"/>
  <c r="B134" i="7" a="1"/>
  <c r="B134" i="7" s="1"/>
  <c r="B24" i="7" a="1"/>
  <c r="B24" i="7" s="1"/>
  <c r="B176" i="7" a="1"/>
  <c r="B176" i="7" s="1"/>
  <c r="B210" i="7" a="1"/>
  <c r="B210" i="7" s="1"/>
  <c r="B116" i="7" a="1"/>
  <c r="B116" i="7" s="1"/>
  <c r="B7" i="7" a="1"/>
  <c r="B7" i="7" s="1"/>
  <c r="B174" i="7" a="1"/>
  <c r="B174" i="7" s="1"/>
  <c r="B173" i="7" a="1"/>
  <c r="B173" i="7" s="1"/>
  <c r="B158" i="7" a="1"/>
  <c r="B158" i="7" s="1"/>
  <c r="B57" i="7" a="1"/>
  <c r="B57" i="7" s="1"/>
  <c r="B42" i="7" a="1"/>
  <c r="B42" i="7" s="1"/>
  <c r="B79" i="7" a="1"/>
  <c r="B79" i="7" s="1"/>
  <c r="B145" i="7" a="1"/>
  <c r="B145" i="7" s="1"/>
  <c r="H145" i="7" s="1"/>
  <c r="J145" i="7" s="1"/>
  <c r="B142" i="7" a="1"/>
  <c r="B142" i="7" s="1"/>
  <c r="B140" i="7" a="1"/>
  <c r="B140" i="7" s="1"/>
  <c r="B132" i="7" a="1"/>
  <c r="B132" i="7" s="1"/>
  <c r="B166" i="7" a="1"/>
  <c r="B166" i="7" s="1"/>
  <c r="B12" i="7" a="1"/>
  <c r="B12" i="7" s="1"/>
  <c r="B159" i="7" a="1"/>
  <c r="B159" i="7" s="1"/>
  <c r="B199" i="7" a="1"/>
  <c r="B199" i="7" s="1"/>
  <c r="B209" i="7" a="1"/>
  <c r="B209" i="7" s="1"/>
  <c r="B198" i="7" a="1"/>
  <c r="B198" i="7" s="1"/>
  <c r="B161" i="7" a="1"/>
  <c r="B161" i="7" s="1"/>
  <c r="B97" i="7" a="1"/>
  <c r="B97" i="7" s="1"/>
  <c r="B231" i="7" a="1"/>
  <c r="B231" i="7" s="1"/>
  <c r="B196" i="7" a="1"/>
  <c r="B196" i="7" s="1"/>
  <c r="B68" i="7" a="1"/>
  <c r="B68" i="7" s="1"/>
  <c r="B39" i="7" a="1"/>
  <c r="B39" i="7" s="1"/>
  <c r="B192" i="7" a="1"/>
  <c r="B192" i="7" s="1"/>
  <c r="B178" i="7" a="1"/>
  <c r="B178" i="7" s="1"/>
  <c r="B215" i="7" a="1"/>
  <c r="B215" i="7" s="1"/>
  <c r="B155" i="7" a="1"/>
  <c r="B155" i="7" s="1"/>
  <c r="B63" i="7" a="1"/>
  <c r="B63" i="7" s="1"/>
  <c r="B86" i="7" a="1"/>
  <c r="B86" i="7" s="1"/>
  <c r="B226" i="7" a="1"/>
  <c r="B226" i="7" s="1"/>
  <c r="B232" i="7" a="1"/>
  <c r="B232" i="7" s="1"/>
  <c r="B216" i="7" a="1"/>
  <c r="B216" i="7" s="1"/>
  <c r="B3" i="7" a="1"/>
  <c r="B3" i="7" s="1"/>
  <c r="B81" i="7" a="1"/>
  <c r="B81" i="7" s="1"/>
  <c r="B208" i="7" a="1"/>
  <c r="B208" i="7" s="1"/>
  <c r="B51" i="7" a="1"/>
  <c r="B51" i="7" s="1"/>
  <c r="B67" i="7" a="1"/>
  <c r="B67" i="7" s="1"/>
  <c r="B74" i="7" a="1"/>
  <c r="B74" i="7" s="1"/>
  <c r="B49" i="7" a="1"/>
  <c r="B49" i="7" s="1"/>
  <c r="B52" i="7" a="1"/>
  <c r="B52" i="7" s="1"/>
  <c r="B78" i="7" a="1"/>
  <c r="B78" i="7" s="1"/>
  <c r="B37" i="7" a="1"/>
  <c r="B37" i="7" s="1"/>
  <c r="B133" i="7" a="1"/>
  <c r="B133" i="7" s="1"/>
  <c r="B227" i="7" a="1"/>
  <c r="B227" i="7" s="1"/>
  <c r="B14" i="7" a="1"/>
  <c r="B14" i="7" s="1"/>
  <c r="B88" i="7" a="1"/>
  <c r="B88" i="7" s="1"/>
  <c r="B214" i="7" a="1"/>
  <c r="B214" i="7" s="1"/>
  <c r="B6" i="7" a="1"/>
  <c r="B6" i="7" s="1"/>
  <c r="B71" i="7" a="1"/>
  <c r="B71" i="7" s="1"/>
  <c r="B217" i="7" a="1"/>
  <c r="B217" i="7" s="1"/>
  <c r="B143" i="7" a="1"/>
  <c r="B143" i="7" s="1"/>
  <c r="B224" i="7" a="1"/>
  <c r="B224" i="7" s="1"/>
  <c r="B229" i="7" a="1"/>
  <c r="B229" i="7" s="1"/>
  <c r="B76" i="7" a="1"/>
  <c r="B76" i="7" s="1"/>
  <c r="B53" i="7" a="1"/>
  <c r="B53" i="7" s="1"/>
  <c r="B197" i="7" a="1"/>
  <c r="B197" i="7" s="1"/>
  <c r="B27" i="7" a="1"/>
  <c r="B27" i="7" s="1"/>
  <c r="B195" i="7" a="1"/>
  <c r="B195" i="7" s="1"/>
  <c r="B59" i="7" a="1"/>
  <c r="B59" i="7" s="1"/>
  <c r="B101" i="7" a="1"/>
  <c r="B101" i="7" s="1"/>
  <c r="B126" i="7" a="1"/>
  <c r="B126" i="7" s="1"/>
  <c r="B129" i="7" a="1"/>
  <c r="B129" i="7" s="1"/>
  <c r="B115" i="7" a="1"/>
  <c r="B115" i="7" s="1"/>
  <c r="B84" i="7" a="1"/>
  <c r="B84" i="7" s="1"/>
  <c r="B33" i="7" a="1"/>
  <c r="B33" i="7" s="1"/>
  <c r="B38" i="7" a="1"/>
  <c r="B38" i="7" s="1"/>
  <c r="B128" i="7" a="1"/>
  <c r="B128" i="7" s="1"/>
  <c r="B124" i="7" a="1"/>
  <c r="B124" i="7" s="1"/>
  <c r="B162" i="7" a="1"/>
  <c r="B162" i="7" s="1"/>
  <c r="B138" i="7" a="1"/>
  <c r="B138" i="7" s="1"/>
  <c r="B41" i="7" a="1"/>
  <c r="B41" i="7" s="1"/>
  <c r="B179" i="7" a="1"/>
  <c r="B179" i="7" s="1"/>
  <c r="B177" i="7" a="1"/>
  <c r="B177" i="7" s="1"/>
  <c r="B139" i="7" a="1"/>
  <c r="B139" i="7" s="1"/>
  <c r="B108" i="7" a="1"/>
  <c r="B108" i="7" s="1"/>
  <c r="B93" i="7" a="1"/>
  <c r="B93" i="7" s="1"/>
  <c r="B11" i="7" a="1"/>
  <c r="B11" i="7" s="1"/>
  <c r="B72" i="7" a="1"/>
  <c r="B72" i="7" s="1"/>
  <c r="B212" i="7" a="1"/>
  <c r="B212" i="7" s="1"/>
  <c r="B219" i="7" a="1"/>
  <c r="B219" i="7" s="1"/>
  <c r="B191" i="7" a="1"/>
  <c r="B191" i="7" s="1"/>
  <c r="B130" i="7" a="1"/>
  <c r="B130" i="7" s="1"/>
  <c r="B153" i="7" a="1"/>
  <c r="B153" i="7" s="1"/>
  <c r="B190" i="7" a="1"/>
  <c r="B190" i="7" s="1"/>
  <c r="B141" i="7" a="1"/>
  <c r="B141" i="7" s="1"/>
  <c r="B46" i="7" a="1"/>
  <c r="B46" i="7" s="1"/>
  <c r="B95" i="7" a="1"/>
  <c r="B95" i="7" s="1"/>
  <c r="B218" i="7" a="1"/>
  <c r="B218" i="7" s="1"/>
  <c r="B202" i="7" a="1"/>
  <c r="B202" i="7" s="1"/>
  <c r="B234" i="7" a="1"/>
  <c r="B234" i="7" s="1"/>
  <c r="B156" i="7" a="1"/>
  <c r="B156" i="7" s="1"/>
  <c r="B5" i="7" a="1"/>
  <c r="B5" i="7" s="1"/>
  <c r="B44" i="7" a="1"/>
  <c r="B44" i="7" s="1"/>
  <c r="B34" i="7" a="1"/>
  <c r="B34" i="7" s="1"/>
  <c r="B10" i="7" a="1"/>
  <c r="B10" i="7" s="1"/>
  <c r="B122" i="7" a="1"/>
  <c r="B122" i="7" s="1"/>
  <c r="B200" i="7" a="1"/>
  <c r="B200" i="7" s="1"/>
  <c r="B120" i="7" a="1"/>
  <c r="B120" i="7" s="1"/>
  <c r="B45" i="7" a="1"/>
  <c r="B45" i="7" s="1"/>
  <c r="B40" i="7" a="1"/>
  <c r="B40" i="7" s="1"/>
  <c r="B233" i="7" a="1"/>
  <c r="B233" i="7" s="1"/>
  <c r="B92" i="7" a="1"/>
  <c r="B92" i="7" s="1"/>
  <c r="B230" i="7" a="1"/>
  <c r="B230" i="7" s="1"/>
  <c r="B186" i="7" a="1"/>
  <c r="B186" i="7" s="1"/>
  <c r="B69" i="7" a="1"/>
  <c r="B69" i="7" s="1"/>
  <c r="B48" i="7" a="1"/>
  <c r="B48" i="7" s="1"/>
  <c r="B205" i="7" a="1"/>
  <c r="B205" i="7" s="1"/>
  <c r="B47" i="7" a="1"/>
  <c r="B47" i="7" s="1"/>
  <c r="B75" i="7" a="1"/>
  <c r="B75" i="7" s="1"/>
  <c r="B228" i="7" a="1"/>
  <c r="B228" i="7" s="1"/>
  <c r="B111" i="7" a="1"/>
  <c r="B111" i="7" s="1"/>
  <c r="B220" i="7" a="1"/>
  <c r="B220" i="7" s="1"/>
  <c r="B189" i="7" a="1"/>
  <c r="B189" i="7" s="1"/>
  <c r="B165" i="7" a="1"/>
  <c r="B165" i="7" s="1"/>
  <c r="B123" i="7" a="1"/>
  <c r="B123" i="7" s="1"/>
  <c r="B106" i="7" a="1"/>
  <c r="B106" i="7" s="1"/>
  <c r="B125" i="7" a="1"/>
  <c r="B125" i="7" s="1"/>
  <c r="B187" i="7" a="1"/>
  <c r="B187" i="7" s="1"/>
  <c r="B89" i="7" a="1"/>
  <c r="B89" i="7" s="1"/>
  <c r="B188" i="7" a="1"/>
  <c r="B188" i="7" s="1"/>
  <c r="B194" i="7" a="1"/>
  <c r="B194" i="7" s="1"/>
  <c r="B50" i="7" a="1"/>
  <c r="B50" i="7" s="1"/>
  <c r="B56" i="7" a="1"/>
  <c r="B56" i="7" s="1"/>
  <c r="B127" i="7" a="1"/>
  <c r="B127" i="7" s="1"/>
  <c r="B160" i="7" a="1"/>
  <c r="B160" i="7" s="1"/>
  <c r="B110" i="7" a="1"/>
  <c r="B110" i="7" s="1"/>
  <c r="B65" i="7" a="1"/>
  <c r="B65" i="7" s="1"/>
  <c r="B31" i="7" a="1"/>
  <c r="B31" i="7" s="1"/>
  <c r="B117" i="7" a="1"/>
  <c r="B117" i="7" s="1"/>
  <c r="B147" i="7" a="1"/>
  <c r="B147" i="7" s="1"/>
  <c r="B175" i="7" a="1"/>
  <c r="B175" i="7" s="1"/>
  <c r="B66" i="7" a="1"/>
  <c r="B66" i="7" s="1"/>
  <c r="B149" i="7" a="1"/>
  <c r="B149" i="7" s="1"/>
  <c r="B4" i="7" a="1"/>
  <c r="B4" i="7" s="1"/>
  <c r="B118" i="7" a="1"/>
  <c r="B118" i="7" s="1"/>
  <c r="B22" i="7" a="1"/>
  <c r="B22" i="7" s="1"/>
  <c r="B182" i="7" a="1"/>
  <c r="B182" i="7" s="1"/>
  <c r="B77" i="7" a="1"/>
  <c r="B77" i="7" s="1"/>
  <c r="B8" i="7" a="1"/>
  <c r="B8" i="7" s="1"/>
  <c r="B168" i="7" a="1"/>
  <c r="B168" i="7" s="1"/>
  <c r="B211" i="7" a="1"/>
  <c r="B211" i="7" s="1"/>
  <c r="B26" i="7" a="1"/>
  <c r="B26" i="7" s="1"/>
  <c r="B91" i="7" a="1"/>
  <c r="B91" i="7" s="1"/>
  <c r="B167" i="7" a="1"/>
  <c r="B167" i="7" s="1"/>
  <c r="B80" i="7" a="1"/>
  <c r="B80" i="7" s="1"/>
  <c r="B170" i="7" a="1"/>
  <c r="B170" i="7" s="1"/>
  <c r="B171" i="7" a="1"/>
  <c r="B171" i="7" s="1"/>
  <c r="B90" i="7" a="1"/>
  <c r="B90" i="7" s="1"/>
  <c r="B107" i="7" a="1"/>
  <c r="B107" i="7" s="1"/>
  <c r="B157" i="7" a="1"/>
  <c r="B157" i="7" s="1"/>
  <c r="B135" i="7" a="1"/>
  <c r="B135" i="7" s="1"/>
  <c r="B60" i="7" a="1"/>
  <c r="B60" i="7" s="1"/>
  <c r="B213" i="7" a="1"/>
  <c r="B213" i="7" s="1"/>
  <c r="B201" i="7" a="1"/>
  <c r="B201" i="7" s="1"/>
  <c r="B29" i="7" a="1"/>
  <c r="B29" i="7" s="1"/>
  <c r="B222" i="7" a="1"/>
  <c r="B222" i="7" s="1"/>
  <c r="B163" i="7" a="1"/>
  <c r="B163" i="7" s="1"/>
  <c r="B16" i="7" a="1"/>
  <c r="B16" i="7" s="1"/>
  <c r="H63" i="7" l="1"/>
  <c r="J63" i="7" s="1"/>
  <c r="P43" i="7" a="1"/>
  <c r="P43" i="7" s="1"/>
  <c r="Q43" i="7" s="1"/>
  <c r="P54" i="7" a="1"/>
  <c r="P54" i="7" s="1"/>
  <c r="P53" i="7" a="1"/>
  <c r="P53" i="7" s="1"/>
  <c r="Q76" i="7" a="1"/>
  <c r="Q76" i="7" s="1"/>
  <c r="R76" i="7" s="1"/>
  <c r="P49" i="7" a="1"/>
  <c r="P49" i="7" s="1"/>
  <c r="P55" i="7" a="1"/>
  <c r="P55" i="7" s="1"/>
  <c r="P42" i="7" a="1"/>
  <c r="P42" i="7" s="1"/>
  <c r="P44" i="7" a="1"/>
  <c r="P44" i="7" s="1"/>
  <c r="P50" i="7" a="1"/>
  <c r="P50" i="7" s="1"/>
  <c r="P56" i="7" a="1"/>
  <c r="P56" i="7" s="1"/>
  <c r="F157" i="7"/>
  <c r="H157" i="7" s="1"/>
  <c r="J157" i="7" s="1"/>
  <c r="P45" i="7" a="1"/>
  <c r="P45" i="7" s="1"/>
  <c r="P51" i="7" a="1"/>
  <c r="P51" i="7" s="1"/>
  <c r="P47" i="7" a="1"/>
  <c r="P47" i="7" s="1"/>
  <c r="P52" i="7" a="1"/>
  <c r="P52" i="7" s="1"/>
  <c r="P46" i="7" a="1"/>
  <c r="P46" i="7" s="1"/>
  <c r="P48" i="7" a="1"/>
  <c r="P48" i="7" s="1"/>
  <c r="F186" i="7"/>
  <c r="F15" i="7"/>
  <c r="G15" i="7" s="1"/>
  <c r="F156" i="7"/>
  <c r="I156" i="7" s="1"/>
  <c r="F36" i="7"/>
  <c r="G36" i="7" s="1"/>
  <c r="H201" i="7"/>
  <c r="J201" i="7" s="1"/>
  <c r="F26" i="7"/>
  <c r="I26" i="7" s="1"/>
  <c r="H176" i="7"/>
  <c r="J176" i="7" s="1"/>
  <c r="H39" i="7"/>
  <c r="J39" i="7" s="1"/>
  <c r="F221" i="7"/>
  <c r="H221" i="7" s="1"/>
  <c r="Q77" i="7" a="1"/>
  <c r="Q77" i="7" s="1"/>
  <c r="R77" i="7" s="1"/>
  <c r="Q78" i="7" a="1"/>
  <c r="Q78" i="7" s="1"/>
  <c r="R78" i="7" s="1"/>
  <c r="F49" i="7"/>
  <c r="I49" i="7" s="1"/>
  <c r="F87" i="7"/>
  <c r="G87" i="7" s="1"/>
  <c r="F99" i="7"/>
  <c r="I99" i="7" s="1"/>
  <c r="F46" i="7"/>
  <c r="G46" i="7" s="1"/>
  <c r="F136" i="7"/>
  <c r="I136" i="7" s="1"/>
  <c r="F164" i="7"/>
  <c r="F84" i="7"/>
  <c r="H84" i="7" s="1"/>
  <c r="J84" i="7" s="1"/>
  <c r="F219" i="7"/>
  <c r="G219" i="7" s="1"/>
  <c r="F235" i="7"/>
  <c r="I235" i="7" s="1"/>
  <c r="F68" i="7"/>
  <c r="G68" i="7" s="1"/>
  <c r="F211" i="7"/>
  <c r="I211" i="7" s="1"/>
  <c r="F54" i="7"/>
  <c r="H54" i="7" s="1"/>
  <c r="F225" i="7"/>
  <c r="G225" i="7" s="1"/>
  <c r="F217" i="7"/>
  <c r="G217" i="7" s="1"/>
  <c r="F147" i="7"/>
  <c r="H147" i="7" s="1"/>
  <c r="J147" i="7" s="1"/>
  <c r="F12" i="7"/>
  <c r="I12" i="7" s="1"/>
  <c r="F227" i="7"/>
  <c r="I227" i="7" s="1"/>
  <c r="F124" i="7"/>
  <c r="G124" i="7" s="1"/>
  <c r="F96" i="7"/>
  <c r="H96" i="7" s="1"/>
  <c r="J96" i="7" s="1"/>
  <c r="F185" i="7"/>
  <c r="H185" i="7" s="1"/>
  <c r="J185" i="7" s="1"/>
  <c r="F78" i="7"/>
  <c r="I78" i="7" s="1"/>
  <c r="F229" i="7"/>
  <c r="H229" i="7" s="1"/>
  <c r="F146" i="7"/>
  <c r="I146" i="7" s="1"/>
  <c r="F66" i="7"/>
  <c r="G66" i="7" s="1"/>
  <c r="F105" i="7"/>
  <c r="H105" i="7" s="1"/>
  <c r="J105" i="7" s="1"/>
  <c r="F114" i="7"/>
  <c r="G114" i="7" s="1"/>
  <c r="F45" i="7"/>
  <c r="I45" i="7" s="1"/>
  <c r="F144" i="7"/>
  <c r="G144" i="7" s="1"/>
  <c r="F125" i="7"/>
  <c r="H125" i="7" s="1"/>
  <c r="F180" i="7"/>
  <c r="H180" i="7" s="1"/>
  <c r="J180" i="7" s="1"/>
  <c r="F177" i="7"/>
  <c r="G177" i="7" s="1"/>
  <c r="F40" i="7"/>
  <c r="G40" i="7" s="1"/>
  <c r="F138" i="7"/>
  <c r="I138" i="7" s="1"/>
  <c r="F214" i="7"/>
  <c r="G214" i="7" s="1"/>
  <c r="F182" i="7"/>
  <c r="H182" i="7" s="1"/>
  <c r="J182" i="7" s="1"/>
  <c r="F204" i="7"/>
  <c r="H204" i="7" s="1"/>
  <c r="J204" i="7" s="1"/>
  <c r="G84" i="7"/>
  <c r="I233" i="7"/>
  <c r="G233" i="7"/>
  <c r="F34" i="7"/>
  <c r="H34" i="7" s="1"/>
  <c r="J34" i="7" s="1"/>
  <c r="F134" i="7"/>
  <c r="H134" i="7" s="1"/>
  <c r="J134" i="7" s="1"/>
  <c r="F207" i="7"/>
  <c r="H207" i="7" s="1"/>
  <c r="J207" i="7" s="1"/>
  <c r="F128" i="7"/>
  <c r="H128" i="7" s="1"/>
  <c r="J128" i="7" s="1"/>
  <c r="I131" i="7"/>
  <c r="G131" i="7"/>
  <c r="I164" i="7"/>
  <c r="G164" i="7"/>
  <c r="H131" i="7"/>
  <c r="J131" i="7" s="1"/>
  <c r="F192" i="7"/>
  <c r="H192" i="7" s="1"/>
  <c r="J192" i="7" s="1"/>
  <c r="F55" i="7"/>
  <c r="H55" i="7" s="1"/>
  <c r="J55" i="7" s="1"/>
  <c r="F64" i="7"/>
  <c r="H64" i="7" s="1"/>
  <c r="J64" i="7" s="1"/>
  <c r="F152" i="7"/>
  <c r="H152" i="7" s="1"/>
  <c r="F31" i="7"/>
  <c r="H31" i="7" s="1"/>
  <c r="J31" i="7" s="1"/>
  <c r="F72" i="7"/>
  <c r="H72" i="7" s="1"/>
  <c r="J72" i="7" s="1"/>
  <c r="F112" i="7"/>
  <c r="H112" i="7" s="1"/>
  <c r="J112" i="7" s="1"/>
  <c r="F110" i="7"/>
  <c r="H110" i="7" s="1"/>
  <c r="J110" i="7" s="1"/>
  <c r="F206" i="7"/>
  <c r="H206" i="7" s="1"/>
  <c r="J206" i="7" s="1"/>
  <c r="F33" i="7"/>
  <c r="H33" i="7" s="1"/>
  <c r="J33" i="7" s="1"/>
  <c r="F230" i="7"/>
  <c r="H230" i="7" s="1"/>
  <c r="F44" i="7"/>
  <c r="H44" i="7" s="1"/>
  <c r="F151" i="7"/>
  <c r="H151" i="7" s="1"/>
  <c r="J151" i="7" s="1"/>
  <c r="F141" i="7"/>
  <c r="H141" i="7" s="1"/>
  <c r="F13" i="7"/>
  <c r="H13" i="7" s="1"/>
  <c r="F70" i="7"/>
  <c r="H70" i="7" s="1"/>
  <c r="J70" i="7" s="1"/>
  <c r="F130" i="7"/>
  <c r="H130" i="7" s="1"/>
  <c r="J130" i="7" s="1"/>
  <c r="F113" i="7"/>
  <c r="H113" i="7" s="1"/>
  <c r="J113" i="7" s="1"/>
  <c r="F11" i="7"/>
  <c r="H11" i="7" s="1"/>
  <c r="J11" i="7" s="1"/>
  <c r="F216" i="7"/>
  <c r="H216" i="7" s="1"/>
  <c r="J216" i="7" s="1"/>
  <c r="F220" i="7"/>
  <c r="H220" i="7" s="1"/>
  <c r="J220" i="7" s="1"/>
  <c r="F184" i="7"/>
  <c r="H184" i="7" s="1"/>
  <c r="J184" i="7" s="1"/>
  <c r="F191" i="7"/>
  <c r="H191" i="7" s="1"/>
  <c r="J191" i="7" s="1"/>
  <c r="F140" i="7"/>
  <c r="H140" i="7" s="1"/>
  <c r="F169" i="7"/>
  <c r="I180" i="7"/>
  <c r="F166" i="7"/>
  <c r="H166" i="7" s="1"/>
  <c r="J166" i="7" s="1"/>
  <c r="F218" i="7"/>
  <c r="H218" i="7" s="1"/>
  <c r="J218" i="7" s="1"/>
  <c r="F167" i="7"/>
  <c r="H167" i="7" s="1"/>
  <c r="J167" i="7" s="1"/>
  <c r="F27" i="7"/>
  <c r="H27" i="7" s="1"/>
  <c r="F104" i="7"/>
  <c r="H104" i="7" s="1"/>
  <c r="J104" i="7" s="1"/>
  <c r="F148" i="7"/>
  <c r="H148" i="7" s="1"/>
  <c r="J148" i="7" s="1"/>
  <c r="F119" i="7"/>
  <c r="H119" i="7" s="1"/>
  <c r="J119" i="7" s="1"/>
  <c r="F91" i="7"/>
  <c r="H91" i="7" s="1"/>
  <c r="J91" i="7" s="1"/>
  <c r="F193" i="7"/>
  <c r="H193" i="7" s="1"/>
  <c r="J193" i="7" s="1"/>
  <c r="F71" i="7"/>
  <c r="H71" i="7" s="1"/>
  <c r="J71" i="7" s="1"/>
  <c r="F83" i="7"/>
  <c r="H83" i="7" s="1"/>
  <c r="J83" i="7" s="1"/>
  <c r="F149" i="7"/>
  <c r="H149" i="7" s="1"/>
  <c r="F111" i="7"/>
  <c r="H111" i="7" s="1"/>
  <c r="J111" i="7" s="1"/>
  <c r="F196" i="7"/>
  <c r="H196" i="7" s="1"/>
  <c r="J196" i="7" s="1"/>
  <c r="F172" i="7"/>
  <c r="H172" i="7" s="1"/>
  <c r="J172" i="7" s="1"/>
  <c r="F73" i="7"/>
  <c r="H73" i="7" s="1"/>
  <c r="J73" i="7" s="1"/>
  <c r="F29" i="7"/>
  <c r="H29" i="7" s="1"/>
  <c r="F163" i="7"/>
  <c r="H163" i="7" s="1"/>
  <c r="F143" i="7"/>
  <c r="H143" i="7" s="1"/>
  <c r="J143" i="7" s="1"/>
  <c r="F17" i="7"/>
  <c r="H17" i="7" s="1"/>
  <c r="F115" i="7"/>
  <c r="H115" i="7" s="1"/>
  <c r="J115" i="7" s="1"/>
  <c r="F67" i="7"/>
  <c r="H67" i="7" s="1"/>
  <c r="F213" i="7"/>
  <c r="H213" i="7" s="1"/>
  <c r="J213" i="7" s="1"/>
  <c r="F80" i="7"/>
  <c r="H80" i="7" s="1"/>
  <c r="J80" i="7" s="1"/>
  <c r="F14" i="7"/>
  <c r="H14" i="7" s="1"/>
  <c r="J14" i="7" s="1"/>
  <c r="F81" i="7"/>
  <c r="H81" i="7" s="1"/>
  <c r="J81" i="7" s="1"/>
  <c r="F35" i="7"/>
  <c r="H35" i="7" s="1"/>
  <c r="J35" i="7" s="1"/>
  <c r="F202" i="7"/>
  <c r="H202" i="7" s="1"/>
  <c r="F100" i="7"/>
  <c r="H100" i="7" s="1"/>
  <c r="F56" i="7"/>
  <c r="H56" i="7" s="1"/>
  <c r="J56" i="7" s="1"/>
  <c r="F75" i="7"/>
  <c r="H75" i="7" s="1"/>
  <c r="J75" i="7" s="1"/>
  <c r="F38" i="7"/>
  <c r="H38" i="7" s="1"/>
  <c r="J38" i="7" s="1"/>
  <c r="F101" i="7"/>
  <c r="H101" i="7" s="1"/>
  <c r="J101" i="7" s="1"/>
  <c r="F171" i="7"/>
  <c r="H171" i="7" s="1"/>
  <c r="J171" i="7" s="1"/>
  <c r="F32" i="7"/>
  <c r="H32" i="7" s="1"/>
  <c r="J32" i="7" s="1"/>
  <c r="F168" i="7"/>
  <c r="H168" i="7" s="1"/>
  <c r="J168" i="7" s="1"/>
  <c r="F188" i="7"/>
  <c r="H188" i="7" s="1"/>
  <c r="J188" i="7" s="1"/>
  <c r="F90" i="7"/>
  <c r="H90" i="7" s="1"/>
  <c r="J90" i="7" s="1"/>
  <c r="F117" i="7"/>
  <c r="H117" i="7" s="1"/>
  <c r="J117" i="7" s="1"/>
  <c r="F108" i="7"/>
  <c r="H108" i="7" s="1"/>
  <c r="F223" i="7"/>
  <c r="H223" i="7" s="1"/>
  <c r="J223" i="7" s="1"/>
  <c r="F158" i="7"/>
  <c r="H158" i="7" s="1"/>
  <c r="J158" i="7" s="1"/>
  <c r="F22" i="7"/>
  <c r="H22" i="7" s="1"/>
  <c r="J22" i="7" s="1"/>
  <c r="F194" i="7"/>
  <c r="H194" i="7" s="1"/>
  <c r="J194" i="7" s="1"/>
  <c r="F57" i="7"/>
  <c r="H57" i="7" s="1"/>
  <c r="J57" i="7" s="1"/>
  <c r="F9" i="7"/>
  <c r="H9" i="7" s="1"/>
  <c r="F61" i="7"/>
  <c r="H61" i="7" s="1"/>
  <c r="J61" i="7" s="1"/>
  <c r="F20" i="7"/>
  <c r="H20" i="7" s="1"/>
  <c r="J20" i="7" s="1"/>
  <c r="F187" i="7"/>
  <c r="H187" i="7" s="1"/>
  <c r="J187" i="7" s="1"/>
  <c r="F53" i="7"/>
  <c r="H53" i="7" s="1"/>
  <c r="J53" i="7" s="1"/>
  <c r="F103" i="7"/>
  <c r="H103" i="7" s="1"/>
  <c r="J103" i="7" s="1"/>
  <c r="F65" i="7"/>
  <c r="H65" i="7" s="1"/>
  <c r="J65" i="7" s="1"/>
  <c r="F190" i="7"/>
  <c r="H190" i="7" s="1"/>
  <c r="J190" i="7" s="1"/>
  <c r="F59" i="7"/>
  <c r="H59" i="7" s="1"/>
  <c r="F181" i="7"/>
  <c r="H181" i="7" s="1"/>
  <c r="J181" i="7" s="1"/>
  <c r="F215" i="7"/>
  <c r="H215" i="7" s="1"/>
  <c r="F85" i="7"/>
  <c r="H85" i="7" s="1"/>
  <c r="F209" i="7"/>
  <c r="H209" i="7" s="1"/>
  <c r="J209" i="7" s="1"/>
  <c r="F198" i="7"/>
  <c r="H198" i="7" s="1"/>
  <c r="I176" i="7"/>
  <c r="G176" i="7"/>
  <c r="G201" i="7"/>
  <c r="I201" i="7"/>
  <c r="F205" i="7"/>
  <c r="H205" i="7" s="1"/>
  <c r="F226" i="7"/>
  <c r="H226" i="7" s="1"/>
  <c r="J226" i="7" s="1"/>
  <c r="F142" i="7"/>
  <c r="H142" i="7" s="1"/>
  <c r="F132" i="7"/>
  <c r="H132" i="7" s="1"/>
  <c r="J132" i="7" s="1"/>
  <c r="F120" i="7"/>
  <c r="H120" i="7" s="1"/>
  <c r="J120" i="7" s="1"/>
  <c r="F8" i="7"/>
  <c r="H8" i="7" s="1"/>
  <c r="F76" i="7"/>
  <c r="H76" i="7" s="1"/>
  <c r="J76" i="7" s="1"/>
  <c r="F30" i="7"/>
  <c r="H30" i="7" s="1"/>
  <c r="J30" i="7" s="1"/>
  <c r="F161" i="7"/>
  <c r="H161" i="7" s="1"/>
  <c r="J161" i="7" s="1"/>
  <c r="F3" i="7"/>
  <c r="H3" i="7" s="1"/>
  <c r="J3" i="7" s="1"/>
  <c r="F153" i="7"/>
  <c r="H153" i="7" s="1"/>
  <c r="J153" i="7" s="1"/>
  <c r="F18" i="7"/>
  <c r="H18" i="7" s="1"/>
  <c r="F4" i="7"/>
  <c r="H4" i="7" s="1"/>
  <c r="J4" i="7" s="1"/>
  <c r="F50" i="7"/>
  <c r="H50" i="7" s="1"/>
  <c r="F116" i="7"/>
  <c r="H116" i="7" s="1"/>
  <c r="J116" i="7" s="1"/>
  <c r="G39" i="7"/>
  <c r="I39" i="7"/>
  <c r="I63" i="7"/>
  <c r="G63" i="7"/>
  <c r="F197" i="7"/>
  <c r="H197" i="7" s="1"/>
  <c r="J197" i="7" s="1"/>
  <c r="F86" i="7"/>
  <c r="H86" i="7" s="1"/>
  <c r="J86" i="7" s="1"/>
  <c r="F74" i="7"/>
  <c r="H74" i="7" s="1"/>
  <c r="J74" i="7" s="1"/>
  <c r="F139" i="7"/>
  <c r="H139" i="7" s="1"/>
  <c r="J139" i="7" s="1"/>
  <c r="F10" i="7"/>
  <c r="H10" i="7" s="1"/>
  <c r="J10" i="7" s="1"/>
  <c r="F183" i="7"/>
  <c r="H183" i="7" s="1"/>
  <c r="J183" i="7" s="1"/>
  <c r="F224" i="7"/>
  <c r="H224" i="7" s="1"/>
  <c r="J224" i="7" s="1"/>
  <c r="F60" i="7"/>
  <c r="H60" i="7" s="1"/>
  <c r="J60" i="7" s="1"/>
  <c r="F127" i="7"/>
  <c r="H127" i="7" s="1"/>
  <c r="J127" i="7" s="1"/>
  <c r="F175" i="7"/>
  <c r="H175" i="7" s="1"/>
  <c r="J175" i="7" s="1"/>
  <c r="F123" i="7"/>
  <c r="H123" i="7" s="1"/>
  <c r="J123" i="7" s="1"/>
  <c r="F135" i="7"/>
  <c r="H135" i="7" s="1"/>
  <c r="J135" i="7" s="1"/>
  <c r="F170" i="7"/>
  <c r="H170" i="7" s="1"/>
  <c r="J170" i="7" s="1"/>
  <c r="F16" i="7"/>
  <c r="H16" i="7" s="1"/>
  <c r="J16" i="7" s="1"/>
  <c r="F24" i="7"/>
  <c r="H24" i="7" s="1"/>
  <c r="J24" i="7" s="1"/>
  <c r="F118" i="7"/>
  <c r="H118" i="7" s="1"/>
  <c r="F154" i="7"/>
  <c r="H154" i="7" s="1"/>
  <c r="J154" i="7" s="1"/>
  <c r="F165" i="7"/>
  <c r="H165" i="7" s="1"/>
  <c r="J165" i="7" s="1"/>
  <c r="F222" i="7"/>
  <c r="H222" i="7" s="1"/>
  <c r="J222" i="7" s="1"/>
  <c r="F88" i="7"/>
  <c r="H88" i="7" s="1"/>
  <c r="J88" i="7" s="1"/>
  <c r="F79" i="7"/>
  <c r="H79" i="7" s="1"/>
  <c r="J79" i="7" s="1"/>
  <c r="F199" i="7"/>
  <c r="H199" i="7" s="1"/>
  <c r="F109" i="7"/>
  <c r="H109" i="7" s="1"/>
  <c r="F25" i="7"/>
  <c r="H25" i="7" s="1"/>
  <c r="F48" i="7"/>
  <c r="H48" i="7" s="1"/>
  <c r="J48" i="7" s="1"/>
  <c r="F102" i="7"/>
  <c r="H102" i="7" s="1"/>
  <c r="J102" i="7" s="1"/>
  <c r="F43" i="7"/>
  <c r="H43" i="7" s="1"/>
  <c r="F160" i="7"/>
  <c r="H160" i="7" s="1"/>
  <c r="J160" i="7" s="1"/>
  <c r="F97" i="7"/>
  <c r="H97" i="7" s="1"/>
  <c r="F179" i="7"/>
  <c r="H179" i="7" s="1"/>
  <c r="J179" i="7" s="1"/>
  <c r="F126" i="7"/>
  <c r="H126" i="7" s="1"/>
  <c r="J126" i="7" s="1"/>
  <c r="F107" i="7"/>
  <c r="H107" i="7" s="1"/>
  <c r="J107" i="7" s="1"/>
  <c r="F5" i="7"/>
  <c r="H5" i="7" s="1"/>
  <c r="J5" i="7" s="1"/>
  <c r="F129" i="7"/>
  <c r="H129" i="7" s="1"/>
  <c r="J129" i="7" s="1"/>
  <c r="F122" i="7"/>
  <c r="H122" i="7" s="1"/>
  <c r="J122" i="7" s="1"/>
  <c r="F89" i="7"/>
  <c r="H89" i="7" s="1"/>
  <c r="J89" i="7" s="1"/>
  <c r="F52" i="7"/>
  <c r="H52" i="7" s="1"/>
  <c r="J52" i="7" s="1"/>
  <c r="F62" i="7"/>
  <c r="H62" i="7" s="1"/>
  <c r="H233" i="7"/>
  <c r="J233" i="7" s="1"/>
  <c r="H164" i="7"/>
  <c r="J164" i="7" s="1"/>
  <c r="F51" i="7"/>
  <c r="H51" i="7" s="1"/>
  <c r="F173" i="7"/>
  <c r="H173" i="7" s="1"/>
  <c r="J173" i="7" s="1"/>
  <c r="F133" i="7"/>
  <c r="H133" i="7" s="1"/>
  <c r="J133" i="7" s="1"/>
  <c r="F106" i="7"/>
  <c r="H106" i="7" s="1"/>
  <c r="J106" i="7" s="1"/>
  <c r="F121" i="7"/>
  <c r="H121" i="7" s="1"/>
  <c r="F69" i="7"/>
  <c r="H69" i="7" s="1"/>
  <c r="J69" i="7" s="1"/>
  <c r="F228" i="7"/>
  <c r="H228" i="7" s="1"/>
  <c r="J228" i="7" s="1"/>
  <c r="F92" i="7"/>
  <c r="H92" i="7" s="1"/>
  <c r="F189" i="7"/>
  <c r="H189" i="7" s="1"/>
  <c r="J189" i="7" s="1"/>
  <c r="F137" i="7"/>
  <c r="H137" i="7" s="1"/>
  <c r="J137" i="7" s="1"/>
  <c r="F155" i="7"/>
  <c r="H155" i="7" s="1"/>
  <c r="J155" i="7" s="1"/>
  <c r="F77" i="7"/>
  <c r="H77" i="7" s="1"/>
  <c r="J77" i="7" s="1"/>
  <c r="F174" i="7"/>
  <c r="H174" i="7" s="1"/>
  <c r="J174" i="7" s="1"/>
  <c r="F23" i="7"/>
  <c r="H23" i="7" s="1"/>
  <c r="J23" i="7" s="1"/>
  <c r="F150" i="7"/>
  <c r="H150" i="7" s="1"/>
  <c r="J150" i="7" s="1"/>
  <c r="F37" i="7"/>
  <c r="H37" i="7" s="1"/>
  <c r="J37" i="7" s="1"/>
  <c r="F6" i="7"/>
  <c r="H6" i="7" s="1"/>
  <c r="J6" i="7" s="1"/>
  <c r="F203" i="7"/>
  <c r="H203" i="7" s="1"/>
  <c r="F210" i="7"/>
  <c r="H210" i="7" s="1"/>
  <c r="J210" i="7" s="1"/>
  <c r="I157" i="7"/>
  <c r="F195" i="7"/>
  <c r="H195" i="7" s="1"/>
  <c r="J195" i="7" s="1"/>
  <c r="F162" i="7"/>
  <c r="H162" i="7" s="1"/>
  <c r="J162" i="7" s="1"/>
  <c r="F95" i="7"/>
  <c r="H95" i="7" s="1"/>
  <c r="J95" i="7" s="1"/>
  <c r="H169" i="7"/>
  <c r="J169" i="7" s="1"/>
  <c r="F159" i="7"/>
  <c r="H159" i="7" s="1"/>
  <c r="J159" i="7" s="1"/>
  <c r="F93" i="7"/>
  <c r="H93" i="7" s="1"/>
  <c r="J93" i="7" s="1"/>
  <c r="G145" i="7"/>
  <c r="I145" i="7"/>
  <c r="F232" i="7"/>
  <c r="H232" i="7" s="1"/>
  <c r="J232" i="7" s="1"/>
  <c r="F21" i="7"/>
  <c r="H21" i="7" s="1"/>
  <c r="J21" i="7" s="1"/>
  <c r="F178" i="7"/>
  <c r="H178" i="7" s="1"/>
  <c r="J178" i="7" s="1"/>
  <c r="F98" i="7"/>
  <c r="H98" i="7" s="1"/>
  <c r="J98" i="7" s="1"/>
  <c r="F2" i="7"/>
  <c r="F41" i="7"/>
  <c r="H41" i="7" s="1"/>
  <c r="J41" i="7" s="1"/>
  <c r="F47" i="7"/>
  <c r="H47" i="7" s="1"/>
  <c r="J47" i="7" s="1"/>
  <c r="F94" i="7"/>
  <c r="H94" i="7" s="1"/>
  <c r="J94" i="7" s="1"/>
  <c r="F234" i="7"/>
  <c r="H234" i="7" s="1"/>
  <c r="F19" i="7"/>
  <c r="H19" i="7" s="1"/>
  <c r="J19" i="7" s="1"/>
  <c r="F82" i="7"/>
  <c r="H82" i="7" s="1"/>
  <c r="J82" i="7" s="1"/>
  <c r="F28" i="7"/>
  <c r="H28" i="7" s="1"/>
  <c r="J28" i="7" s="1"/>
  <c r="F42" i="7"/>
  <c r="H42" i="7" s="1"/>
  <c r="J42" i="7" s="1"/>
  <c r="F58" i="7"/>
  <c r="H58" i="7" s="1"/>
  <c r="J58" i="7" s="1"/>
  <c r="F231" i="7"/>
  <c r="H231" i="7" s="1"/>
  <c r="J231" i="7" s="1"/>
  <c r="F200" i="7"/>
  <c r="H200" i="7" s="1"/>
  <c r="J200" i="7" s="1"/>
  <c r="F212" i="7"/>
  <c r="H212" i="7" s="1"/>
  <c r="J212" i="7" s="1"/>
  <c r="F7" i="7"/>
  <c r="H7" i="7" s="1"/>
  <c r="J7" i="7" s="1"/>
  <c r="F208" i="7"/>
  <c r="H208" i="7" s="1"/>
  <c r="J208" i="7" s="1"/>
  <c r="I96" i="7" l="1"/>
  <c r="H99" i="7"/>
  <c r="J99" i="7" s="1"/>
  <c r="I225" i="7"/>
  <c r="H49" i="7"/>
  <c r="J49" i="7" s="1"/>
  <c r="G49" i="7"/>
  <c r="H235" i="7"/>
  <c r="J235" i="7" s="1"/>
  <c r="G229" i="7"/>
  <c r="I229" i="7"/>
  <c r="I124" i="7"/>
  <c r="H114" i="7"/>
  <c r="J114" i="7" s="1"/>
  <c r="G96" i="7"/>
  <c r="G45" i="7"/>
  <c r="G235" i="7"/>
  <c r="R43" i="7" a="1"/>
  <c r="R43" i="7" s="1"/>
  <c r="S43" i="7" s="1"/>
  <c r="H45" i="7"/>
  <c r="J45" i="7" s="1"/>
  <c r="I114" i="7"/>
  <c r="I84" i="7"/>
  <c r="R47" i="7" a="1"/>
  <c r="R47" i="7" s="1"/>
  <c r="S47" i="7" s="1"/>
  <c r="Q47" i="7"/>
  <c r="H214" i="7"/>
  <c r="J214" i="7" s="1"/>
  <c r="G221" i="7"/>
  <c r="I105" i="7"/>
  <c r="H12" i="7"/>
  <c r="J12" i="7" s="1"/>
  <c r="J198" i="7"/>
  <c r="G146" i="7"/>
  <c r="G156" i="7"/>
  <c r="H186" i="7"/>
  <c r="J186" i="7" s="1"/>
  <c r="G180" i="7"/>
  <c r="G12" i="7"/>
  <c r="R51" i="7" a="1"/>
  <c r="R51" i="7" s="1"/>
  <c r="S51" i="7" s="1"/>
  <c r="Q51" i="7"/>
  <c r="R55" i="7" a="1"/>
  <c r="R55" i="7" s="1"/>
  <c r="S55" i="7" s="1"/>
  <c r="Q55" i="7"/>
  <c r="J109" i="7"/>
  <c r="I186" i="7"/>
  <c r="H2" i="7"/>
  <c r="G186" i="7"/>
  <c r="H146" i="7"/>
  <c r="J146" i="7" s="1"/>
  <c r="J149" i="7"/>
  <c r="G185" i="7"/>
  <c r="H15" i="7"/>
  <c r="J15" i="7" s="1"/>
  <c r="R49" i="7" a="1"/>
  <c r="R49" i="7" s="1"/>
  <c r="S49" i="7" s="1"/>
  <c r="Q49" i="7"/>
  <c r="R45" i="7" a="1"/>
  <c r="R45" i="7" s="1"/>
  <c r="S45" i="7" s="1"/>
  <c r="Q45" i="7"/>
  <c r="I15" i="7"/>
  <c r="H144" i="7"/>
  <c r="J144" i="7" s="1"/>
  <c r="I185" i="7"/>
  <c r="G147" i="7"/>
  <c r="I219" i="7"/>
  <c r="G157" i="7"/>
  <c r="H219" i="7"/>
  <c r="J219" i="7" s="1"/>
  <c r="J108" i="7"/>
  <c r="I147" i="7"/>
  <c r="R56" i="7" a="1"/>
  <c r="R56" i="7" s="1"/>
  <c r="S56" i="7" s="1"/>
  <c r="Q56" i="7"/>
  <c r="Q53" i="7"/>
  <c r="R53" i="7" a="1"/>
  <c r="R53" i="7" s="1"/>
  <c r="S53" i="7" s="1"/>
  <c r="R50" i="7" a="1"/>
  <c r="R50" i="7" s="1"/>
  <c r="Q50" i="7"/>
  <c r="R54" i="7" a="1"/>
  <c r="R54" i="7" s="1"/>
  <c r="S54" i="7" s="1"/>
  <c r="Q54" i="7"/>
  <c r="R44" i="7" a="1"/>
  <c r="R44" i="7" s="1"/>
  <c r="Q44" i="7"/>
  <c r="R48" i="7" a="1"/>
  <c r="R48" i="7" s="1"/>
  <c r="S48" i="7" s="1"/>
  <c r="Q48" i="7"/>
  <c r="I221" i="7"/>
  <c r="J221" i="7" s="1"/>
  <c r="G105" i="7"/>
  <c r="J229" i="7"/>
  <c r="R42" i="7" a="1"/>
  <c r="R42" i="7" s="1"/>
  <c r="S42" i="7" s="1"/>
  <c r="Q42" i="7"/>
  <c r="R46" i="7" a="1"/>
  <c r="R46" i="7" s="1"/>
  <c r="S46" i="7" s="1"/>
  <c r="Q46" i="7"/>
  <c r="H156" i="7"/>
  <c r="J156" i="7" s="1"/>
  <c r="J50" i="7"/>
  <c r="I36" i="7"/>
  <c r="R52" i="7" a="1"/>
  <c r="R52" i="7" s="1"/>
  <c r="S52" i="7" s="1"/>
  <c r="Q52" i="7"/>
  <c r="H138" i="7"/>
  <c r="J138" i="7" s="1"/>
  <c r="H36" i="7"/>
  <c r="J36" i="7" s="1"/>
  <c r="I40" i="7"/>
  <c r="H26" i="7"/>
  <c r="J26" i="7" s="1"/>
  <c r="H40" i="7"/>
  <c r="H68" i="7"/>
  <c r="J68" i="7" s="1"/>
  <c r="H136" i="7"/>
  <c r="J136" i="7" s="1"/>
  <c r="G125" i="7"/>
  <c r="I54" i="7"/>
  <c r="J54" i="7" s="1"/>
  <c r="H211" i="7"/>
  <c r="J211" i="7" s="1"/>
  <c r="G26" i="7"/>
  <c r="H66" i="7"/>
  <c r="J66" i="7" s="1"/>
  <c r="I125" i="7"/>
  <c r="J125" i="7" s="1"/>
  <c r="I87" i="7"/>
  <c r="G54" i="7"/>
  <c r="G136" i="7"/>
  <c r="H177" i="7"/>
  <c r="J177" i="7" s="1"/>
  <c r="H227" i="7"/>
  <c r="J227" i="7" s="1"/>
  <c r="G138" i="7"/>
  <c r="H225" i="7"/>
  <c r="J225" i="7" s="1"/>
  <c r="H87" i="7"/>
  <c r="H124" i="7"/>
  <c r="J124" i="7" s="1"/>
  <c r="H217" i="7"/>
  <c r="H78" i="7"/>
  <c r="J78" i="7" s="1"/>
  <c r="H46" i="7"/>
  <c r="J46" i="7" s="1"/>
  <c r="I214" i="7"/>
  <c r="I46" i="7"/>
  <c r="G227" i="7"/>
  <c r="G211" i="7"/>
  <c r="I66" i="7"/>
  <c r="I217" i="7"/>
  <c r="G99" i="7"/>
  <c r="G78" i="7"/>
  <c r="I177" i="7"/>
  <c r="I144" i="7"/>
  <c r="I68" i="7"/>
  <c r="I7" i="7"/>
  <c r="G7" i="7"/>
  <c r="I65" i="7"/>
  <c r="G65" i="7"/>
  <c r="G196" i="7"/>
  <c r="I196" i="7"/>
  <c r="I184" i="7"/>
  <c r="G184" i="7"/>
  <c r="I141" i="7"/>
  <c r="J141" i="7" s="1"/>
  <c r="G141" i="7"/>
  <c r="G152" i="7"/>
  <c r="I152" i="7"/>
  <c r="J152" i="7" s="1"/>
  <c r="G212" i="7"/>
  <c r="I212" i="7"/>
  <c r="I21" i="7"/>
  <c r="G21" i="7"/>
  <c r="G203" i="7"/>
  <c r="I203" i="7"/>
  <c r="J203" i="7" s="1"/>
  <c r="G92" i="7"/>
  <c r="I92" i="7"/>
  <c r="J92" i="7" s="1"/>
  <c r="G107" i="7"/>
  <c r="I107" i="7"/>
  <c r="G25" i="7"/>
  <c r="I25" i="7"/>
  <c r="J25" i="7" s="1"/>
  <c r="I16" i="7"/>
  <c r="G16" i="7"/>
  <c r="I139" i="7"/>
  <c r="G139" i="7"/>
  <c r="G30" i="7"/>
  <c r="I30" i="7"/>
  <c r="G103" i="7"/>
  <c r="I103" i="7"/>
  <c r="I168" i="7"/>
  <c r="G168" i="7"/>
  <c r="G213" i="7"/>
  <c r="I213" i="7"/>
  <c r="G111" i="7"/>
  <c r="I111" i="7"/>
  <c r="I220" i="7"/>
  <c r="G220" i="7"/>
  <c r="G151" i="7"/>
  <c r="I151" i="7"/>
  <c r="G178" i="7"/>
  <c r="I178" i="7"/>
  <c r="G10" i="7"/>
  <c r="I10" i="7"/>
  <c r="I161" i="7"/>
  <c r="G161" i="7"/>
  <c r="G80" i="7"/>
  <c r="I80" i="7"/>
  <c r="I200" i="7"/>
  <c r="G200" i="7"/>
  <c r="I74" i="7"/>
  <c r="G74" i="7"/>
  <c r="G76" i="7"/>
  <c r="I76" i="7"/>
  <c r="I32" i="7"/>
  <c r="G32" i="7"/>
  <c r="G47" i="7"/>
  <c r="I47" i="7"/>
  <c r="G86" i="7"/>
  <c r="I86" i="7"/>
  <c r="G198" i="7"/>
  <c r="I198" i="7"/>
  <c r="I83" i="7"/>
  <c r="G83" i="7"/>
  <c r="G230" i="7"/>
  <c r="I230" i="7"/>
  <c r="J230" i="7" s="1"/>
  <c r="G150" i="7"/>
  <c r="I150" i="7"/>
  <c r="I22" i="7"/>
  <c r="G22" i="7"/>
  <c r="G167" i="7"/>
  <c r="I167" i="7"/>
  <c r="I113" i="7"/>
  <c r="G113" i="7"/>
  <c r="G33" i="7"/>
  <c r="I33" i="7"/>
  <c r="G55" i="7"/>
  <c r="I55" i="7"/>
  <c r="G128" i="7"/>
  <c r="I128" i="7"/>
  <c r="G204" i="7"/>
  <c r="I204" i="7"/>
  <c r="G210" i="7"/>
  <c r="I210" i="7"/>
  <c r="G50" i="7"/>
  <c r="I50" i="7"/>
  <c r="I188" i="7"/>
  <c r="G188" i="7"/>
  <c r="G104" i="7"/>
  <c r="I104" i="7"/>
  <c r="G149" i="7"/>
  <c r="I149" i="7"/>
  <c r="I69" i="7"/>
  <c r="G69" i="7"/>
  <c r="I135" i="7"/>
  <c r="G135" i="7"/>
  <c r="G8" i="7"/>
  <c r="I8" i="7"/>
  <c r="J8" i="7" s="1"/>
  <c r="G115" i="7"/>
  <c r="I115" i="7"/>
  <c r="G11" i="7"/>
  <c r="I11" i="7"/>
  <c r="G207" i="7"/>
  <c r="I207" i="7"/>
  <c r="G97" i="7"/>
  <c r="I97" i="7"/>
  <c r="J97" i="7" s="1"/>
  <c r="I62" i="7"/>
  <c r="J62" i="7" s="1"/>
  <c r="G62" i="7"/>
  <c r="I154" i="7"/>
  <c r="G154" i="7"/>
  <c r="G175" i="7"/>
  <c r="I175" i="7"/>
  <c r="I132" i="7"/>
  <c r="G132" i="7"/>
  <c r="I85" i="7"/>
  <c r="J85" i="7" s="1"/>
  <c r="G85" i="7"/>
  <c r="I158" i="7"/>
  <c r="G158" i="7"/>
  <c r="G38" i="7"/>
  <c r="I38" i="7"/>
  <c r="G35" i="7"/>
  <c r="I35" i="7"/>
  <c r="G143" i="7"/>
  <c r="I143" i="7"/>
  <c r="I193" i="7"/>
  <c r="G193" i="7"/>
  <c r="G218" i="7"/>
  <c r="I218" i="7"/>
  <c r="I130" i="7"/>
  <c r="G130" i="7"/>
  <c r="G206" i="7"/>
  <c r="I206" i="7"/>
  <c r="I192" i="7"/>
  <c r="G192" i="7"/>
  <c r="G94" i="7"/>
  <c r="I94" i="7"/>
  <c r="G189" i="7"/>
  <c r="I189" i="7"/>
  <c r="I5" i="7"/>
  <c r="G5" i="7"/>
  <c r="G232" i="7"/>
  <c r="I232" i="7"/>
  <c r="G228" i="7"/>
  <c r="I228" i="7"/>
  <c r="G109" i="7"/>
  <c r="I109" i="7"/>
  <c r="I194" i="7"/>
  <c r="G194" i="7"/>
  <c r="G27" i="7"/>
  <c r="I27" i="7"/>
  <c r="J27" i="7" s="1"/>
  <c r="G41" i="7"/>
  <c r="I41" i="7"/>
  <c r="G127" i="7"/>
  <c r="I127" i="7"/>
  <c r="G142" i="7"/>
  <c r="I142" i="7"/>
  <c r="J142" i="7" s="1"/>
  <c r="G215" i="7"/>
  <c r="I215" i="7"/>
  <c r="J215" i="7" s="1"/>
  <c r="G187" i="7"/>
  <c r="I187" i="7"/>
  <c r="I223" i="7"/>
  <c r="G223" i="7"/>
  <c r="I75" i="7"/>
  <c r="G75" i="7"/>
  <c r="G81" i="7"/>
  <c r="I81" i="7"/>
  <c r="G163" i="7"/>
  <c r="I163" i="7"/>
  <c r="J163" i="7" s="1"/>
  <c r="G91" i="7"/>
  <c r="I91" i="7"/>
  <c r="I140" i="7"/>
  <c r="J140" i="7" s="1"/>
  <c r="G140" i="7"/>
  <c r="G70" i="7"/>
  <c r="I70" i="7"/>
  <c r="I110" i="7"/>
  <c r="G110" i="7"/>
  <c r="G134" i="7"/>
  <c r="I134" i="7"/>
  <c r="G231" i="7"/>
  <c r="I231" i="7"/>
  <c r="I37" i="7"/>
  <c r="G37" i="7"/>
  <c r="G53" i="7"/>
  <c r="I53" i="7"/>
  <c r="I169" i="7"/>
  <c r="G169" i="7"/>
  <c r="I56" i="7"/>
  <c r="G56" i="7"/>
  <c r="G13" i="7"/>
  <c r="I13" i="7"/>
  <c r="J13" i="7" s="1"/>
  <c r="G112" i="7"/>
  <c r="I112" i="7"/>
  <c r="I182" i="7"/>
  <c r="G182" i="7"/>
  <c r="I6" i="7"/>
  <c r="G6" i="7"/>
  <c r="G170" i="7"/>
  <c r="I170" i="7"/>
  <c r="I57" i="7"/>
  <c r="G57" i="7"/>
  <c r="I216" i="7"/>
  <c r="G216" i="7"/>
  <c r="I199" i="7"/>
  <c r="J199" i="7" s="1"/>
  <c r="G199" i="7"/>
  <c r="I171" i="7"/>
  <c r="G171" i="7"/>
  <c r="I64" i="7"/>
  <c r="G64" i="7"/>
  <c r="G197" i="7"/>
  <c r="I197" i="7"/>
  <c r="G120" i="7"/>
  <c r="I120" i="7"/>
  <c r="I101" i="7"/>
  <c r="G101" i="7"/>
  <c r="I71" i="7"/>
  <c r="G71" i="7"/>
  <c r="I42" i="7"/>
  <c r="G42" i="7"/>
  <c r="Q3" i="7"/>
  <c r="R3" i="7" s="1"/>
  <c r="G2" i="7"/>
  <c r="I2" i="7"/>
  <c r="I93" i="7"/>
  <c r="G93" i="7"/>
  <c r="I95" i="7"/>
  <c r="G95" i="7"/>
  <c r="G23" i="7"/>
  <c r="I23" i="7"/>
  <c r="G106" i="7"/>
  <c r="I106" i="7"/>
  <c r="G160" i="7"/>
  <c r="I160" i="7"/>
  <c r="G88" i="7"/>
  <c r="I88" i="7"/>
  <c r="G28" i="7"/>
  <c r="I28" i="7"/>
  <c r="I159" i="7"/>
  <c r="G159" i="7"/>
  <c r="I162" i="7"/>
  <c r="G162" i="7"/>
  <c r="G174" i="7"/>
  <c r="I174" i="7"/>
  <c r="I133" i="7"/>
  <c r="G133" i="7"/>
  <c r="I52" i="7"/>
  <c r="G52" i="7"/>
  <c r="G43" i="7"/>
  <c r="I43" i="7"/>
  <c r="J43" i="7" s="1"/>
  <c r="G222" i="7"/>
  <c r="I222" i="7"/>
  <c r="I4" i="7"/>
  <c r="G4" i="7"/>
  <c r="G82" i="7"/>
  <c r="I82" i="7"/>
  <c r="G195" i="7"/>
  <c r="I195" i="7"/>
  <c r="G77" i="7"/>
  <c r="I77" i="7"/>
  <c r="I173" i="7"/>
  <c r="G173" i="7"/>
  <c r="I89" i="7"/>
  <c r="G89" i="7"/>
  <c r="G102" i="7"/>
  <c r="I102" i="7"/>
  <c r="I165" i="7"/>
  <c r="G165" i="7"/>
  <c r="G18" i="7"/>
  <c r="I18" i="7"/>
  <c r="J18" i="7" s="1"/>
  <c r="I181" i="7"/>
  <c r="G181" i="7"/>
  <c r="G108" i="7"/>
  <c r="I108" i="7"/>
  <c r="G29" i="7"/>
  <c r="I29" i="7"/>
  <c r="J29" i="7" s="1"/>
  <c r="G19" i="7"/>
  <c r="I19" i="7"/>
  <c r="G155" i="7"/>
  <c r="I155" i="7"/>
  <c r="G51" i="7"/>
  <c r="I51" i="7"/>
  <c r="J51" i="7" s="1"/>
  <c r="G122" i="7"/>
  <c r="I122" i="7"/>
  <c r="G48" i="7"/>
  <c r="I48" i="7"/>
  <c r="I224" i="7"/>
  <c r="G224" i="7"/>
  <c r="I153" i="7"/>
  <c r="G153" i="7"/>
  <c r="I205" i="7"/>
  <c r="J205" i="7" s="1"/>
  <c r="G205" i="7"/>
  <c r="I59" i="7"/>
  <c r="J59" i="7" s="1"/>
  <c r="G59" i="7"/>
  <c r="I61" i="7"/>
  <c r="G61" i="7"/>
  <c r="G117" i="7"/>
  <c r="I117" i="7"/>
  <c r="G100" i="7"/>
  <c r="I100" i="7"/>
  <c r="J100" i="7" s="1"/>
  <c r="G73" i="7"/>
  <c r="I73" i="7"/>
  <c r="G148" i="7"/>
  <c r="I148" i="7"/>
  <c r="G166" i="7"/>
  <c r="I166" i="7"/>
  <c r="G72" i="7"/>
  <c r="I72" i="7"/>
  <c r="G24" i="7"/>
  <c r="I24" i="7"/>
  <c r="I126" i="7"/>
  <c r="G126" i="7"/>
  <c r="I67" i="7"/>
  <c r="J67" i="7" s="1"/>
  <c r="G67" i="7"/>
  <c r="G44" i="7"/>
  <c r="I44" i="7"/>
  <c r="J44" i="7" s="1"/>
  <c r="I179" i="7"/>
  <c r="G179" i="7"/>
  <c r="I58" i="7"/>
  <c r="G58" i="7"/>
  <c r="I121" i="7"/>
  <c r="J121" i="7" s="1"/>
  <c r="G121" i="7"/>
  <c r="I79" i="7"/>
  <c r="G79" i="7"/>
  <c r="G123" i="7"/>
  <c r="I123" i="7"/>
  <c r="I209" i="7"/>
  <c r="G209" i="7"/>
  <c r="I17" i="7"/>
  <c r="J17" i="7" s="1"/>
  <c r="G17" i="7"/>
  <c r="G60" i="7"/>
  <c r="I60" i="7"/>
  <c r="I226" i="7"/>
  <c r="G226" i="7"/>
  <c r="I20" i="7"/>
  <c r="G20" i="7"/>
  <c r="G14" i="7"/>
  <c r="I14" i="7"/>
  <c r="G119" i="7"/>
  <c r="I119" i="7"/>
  <c r="G208" i="7"/>
  <c r="I208" i="7"/>
  <c r="G234" i="7"/>
  <c r="I234" i="7"/>
  <c r="J234" i="7" s="1"/>
  <c r="G98" i="7"/>
  <c r="I98" i="7"/>
  <c r="G137" i="7"/>
  <c r="I137" i="7"/>
  <c r="G129" i="7"/>
  <c r="I129" i="7"/>
  <c r="I118" i="7"/>
  <c r="J118" i="7" s="1"/>
  <c r="G118" i="7"/>
  <c r="I183" i="7"/>
  <c r="G183" i="7"/>
  <c r="G116" i="7"/>
  <c r="I116" i="7"/>
  <c r="I3" i="7"/>
  <c r="G3" i="7"/>
  <c r="G190" i="7"/>
  <c r="I190" i="7"/>
  <c r="G9" i="7"/>
  <c r="I9" i="7"/>
  <c r="J9" i="7" s="1"/>
  <c r="I90" i="7"/>
  <c r="G90" i="7"/>
  <c r="G202" i="7"/>
  <c r="I202" i="7"/>
  <c r="J202" i="7" s="1"/>
  <c r="I172" i="7"/>
  <c r="G172" i="7"/>
  <c r="I191" i="7"/>
  <c r="G191" i="7"/>
  <c r="G31" i="7"/>
  <c r="I31" i="7"/>
  <c r="G34" i="7"/>
  <c r="I34" i="7"/>
  <c r="S50" i="7" l="1"/>
  <c r="S44" i="7"/>
  <c r="T45" i="7" a="1"/>
  <c r="T45" i="7" s="1"/>
  <c r="T54" i="7" a="1"/>
  <c r="T54" i="7" s="1"/>
  <c r="T53" i="7" a="1"/>
  <c r="T53" i="7" s="1"/>
  <c r="T51" i="7" a="1"/>
  <c r="T51" i="7" s="1"/>
  <c r="J87" i="7"/>
  <c r="T56" i="7" a="1"/>
  <c r="T56" i="7" s="1"/>
  <c r="T47" i="7" a="1"/>
  <c r="T47" i="7" s="1"/>
  <c r="T55" i="7" a="1"/>
  <c r="T55" i="7" s="1"/>
  <c r="T50" i="7" a="1"/>
  <c r="T50" i="7" s="1"/>
  <c r="T52" i="7" a="1"/>
  <c r="T52" i="7" s="1"/>
  <c r="T42" i="7" a="1"/>
  <c r="T42" i="7" s="1"/>
  <c r="J2" i="7"/>
  <c r="T43" i="7" a="1"/>
  <c r="T43" i="7" s="1"/>
  <c r="T46" i="7" a="1"/>
  <c r="T46" i="7" s="1"/>
  <c r="Q5" i="7"/>
  <c r="R5" i="7" s="1"/>
  <c r="T48" i="7" a="1"/>
  <c r="T48" i="7" s="1"/>
  <c r="J40" i="7"/>
  <c r="T44" i="7" a="1"/>
  <c r="T44" i="7" s="1"/>
  <c r="T49" i="7" a="1"/>
  <c r="T49" i="7" s="1"/>
  <c r="J217" i="7"/>
  <c r="Q4" i="7"/>
  <c r="R4" i="7" s="1"/>
  <c r="P14" i="7" l="1" a="1"/>
  <c r="P14" i="7" s="1"/>
  <c r="Q14" i="7" s="1"/>
  <c r="P10" i="7" a="1"/>
  <c r="P10" i="7" s="1"/>
  <c r="Q10" i="7" s="1"/>
  <c r="R10" i="7" s="1"/>
  <c r="P11" i="7" a="1"/>
  <c r="P11" i="7" s="1"/>
  <c r="Q11" i="7" s="1"/>
  <c r="R11" i="7" s="1"/>
  <c r="P33" i="7" a="1"/>
  <c r="P33" i="7" s="1"/>
  <c r="P17" i="7" a="1"/>
  <c r="P17" i="7" s="1"/>
  <c r="P30" i="7" a="1"/>
  <c r="P30" i="7" s="1"/>
  <c r="P35" i="7" a="1"/>
  <c r="P35" i="7" s="1"/>
  <c r="P27" i="7" a="1"/>
  <c r="P27" i="7" s="1"/>
  <c r="P18" i="7" a="1"/>
  <c r="P18" i="7" s="1"/>
  <c r="P29" i="7" a="1"/>
  <c r="P29" i="7" s="1"/>
  <c r="P9" i="7" a="1"/>
  <c r="P9" i="7" s="1"/>
  <c r="Q9" i="7" s="1"/>
  <c r="R9" i="7" s="1"/>
  <c r="P38" i="7" a="1"/>
  <c r="P38" i="7" s="1"/>
  <c r="P37" i="7" a="1"/>
  <c r="P37" i="7" s="1"/>
  <c r="P31" i="7" a="1"/>
  <c r="P31" i="7" s="1"/>
  <c r="P15" i="7" a="1"/>
  <c r="P15" i="7" s="1"/>
  <c r="P34" i="7" a="1"/>
  <c r="P34" i="7" s="1"/>
  <c r="P28" i="7" a="1"/>
  <c r="P28" i="7" s="1"/>
  <c r="P12" i="7" a="1"/>
  <c r="P12" i="7" s="1"/>
  <c r="Q12" i="7" s="1"/>
  <c r="R12" i="7" s="1"/>
  <c r="P16" i="7" a="1"/>
  <c r="P16" i="7" s="1"/>
  <c r="P13" i="7" a="1"/>
  <c r="P13" i="7" s="1"/>
  <c r="P32" i="7" a="1"/>
  <c r="P32" i="7" s="1"/>
  <c r="P36" i="7" a="1"/>
  <c r="P36" i="7" s="1"/>
  <c r="R14" i="7" l="1"/>
  <c r="Q32" i="7"/>
  <c r="R32" i="7" s="1"/>
  <c r="Q13" i="7"/>
  <c r="R13" i="7" s="1"/>
  <c r="Q29" i="7"/>
  <c r="R29" i="7" s="1"/>
  <c r="Q16" i="7"/>
  <c r="R16" i="7" s="1"/>
  <c r="Q18" i="7"/>
  <c r="R18" i="7" s="1"/>
  <c r="Q27" i="7"/>
  <c r="R27" i="7" s="1"/>
  <c r="Q28" i="7"/>
  <c r="R28" i="7" s="1"/>
  <c r="Q35" i="7"/>
  <c r="R35" i="7" s="1"/>
  <c r="Q34" i="7"/>
  <c r="R34" i="7" s="1"/>
  <c r="Q15" i="7"/>
  <c r="R15" i="7" s="1"/>
  <c r="Q30" i="7"/>
  <c r="R30" i="7" s="1"/>
  <c r="Q31" i="7"/>
  <c r="R31" i="7"/>
  <c r="Q17" i="7"/>
  <c r="R17" i="7" s="1"/>
  <c r="Q37" i="7"/>
  <c r="R37" i="7" s="1"/>
  <c r="Q33" i="7"/>
  <c r="R33" i="7" s="1"/>
  <c r="Q36" i="7"/>
  <c r="R36" i="7" s="1"/>
  <c r="Q38" i="7"/>
  <c r="R38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<sst xmlns="http://schemas.openxmlformats.org/spreadsheetml/2006/main" count="9465" uniqueCount="498">
  <si>
    <t>pdf_id</t>
  </si>
  <si>
    <t>model</t>
  </si>
  <si>
    <t>llm_document_type</t>
  </si>
  <si>
    <t>llm_model_document_type</t>
  </si>
  <si>
    <t>llm_doctype_mismatch</t>
  </si>
  <si>
    <t>llm_support_label</t>
  </si>
  <si>
    <t>llm_commenter_type</t>
  </si>
  <si>
    <t>llm_project_state</t>
  </si>
  <si>
    <t>llm_project_region</t>
  </si>
  <si>
    <t>llm_feedback_theme_primary</t>
  </si>
  <si>
    <t>llm_feedback_theme_tags</t>
  </si>
  <si>
    <t>gemini-3.1-flash-lite-preview</t>
  </si>
  <si>
    <t>substantive_comment</t>
  </si>
  <si>
    <t>oppose</t>
  </si>
  <si>
    <t>nonprofit</t>
  </si>
  <si>
    <t>NM</t>
  </si>
  <si>
    <t>southwest</t>
  </si>
  <si>
    <t>public_process</t>
  </si>
  <si>
    <t>public_process|economics_jobs</t>
  </si>
  <si>
    <t>agency_submission</t>
  </si>
  <si>
    <t>procedural_filing</t>
  </si>
  <si>
    <t>government</t>
  </si>
  <si>
    <t>WI</t>
  </si>
  <si>
    <t>midwest</t>
  </si>
  <si>
    <t>WY</t>
  </si>
  <si>
    <t>northwest</t>
  </si>
  <si>
    <t>water_impacts</t>
  </si>
  <si>
    <t>water_impacts|wildlife_ecosystem|safety_risk</t>
  </si>
  <si>
    <t>resident</t>
  </si>
  <si>
    <t>PA</t>
  </si>
  <si>
    <t>northeast</t>
  </si>
  <si>
    <t>water_impacts|wildlife_ecosystem|public_process</t>
  </si>
  <si>
    <t>support</t>
  </si>
  <si>
    <t>economics_jobs</t>
  </si>
  <si>
    <t>economics_jobs|climate_energy</t>
  </si>
  <si>
    <t>climate_energy|public_process</t>
  </si>
  <si>
    <t>unknown</t>
  </si>
  <si>
    <t>wildlife_ecosystem</t>
  </si>
  <si>
    <t>MN</t>
  </si>
  <si>
    <t>cultural_historic</t>
  </si>
  <si>
    <t>cultural_historic|public_process</t>
  </si>
  <si>
    <t>TN</t>
  </si>
  <si>
    <t>southeast</t>
  </si>
  <si>
    <t>wildlife_ecosystem|climate_energy</t>
  </si>
  <si>
    <t>landowner</t>
  </si>
  <si>
    <t>KY</t>
  </si>
  <si>
    <t>cultural_historic|water_impacts|public_process</t>
  </si>
  <si>
    <t>climate_energy</t>
  </si>
  <si>
    <t>climate_energy|economics_jobs</t>
  </si>
  <si>
    <t>CA</t>
  </si>
  <si>
    <t>LA</t>
  </si>
  <si>
    <t>south_central</t>
  </si>
  <si>
    <t>economics_jobs|public_process</t>
  </si>
  <si>
    <t>wildlife_ecosystem|water_impacts</t>
  </si>
  <si>
    <t>recreation_tourism</t>
  </si>
  <si>
    <t>other</t>
  </si>
  <si>
    <t>business</t>
  </si>
  <si>
    <t>ME</t>
  </si>
  <si>
    <t>water_impacts|wildlife_ecosystem|economics_jobs</t>
  </si>
  <si>
    <t>Texas</t>
  </si>
  <si>
    <t>FL</t>
  </si>
  <si>
    <t>NY</t>
  </si>
  <si>
    <t>water_impacts|public_process</t>
  </si>
  <si>
    <t>safety_risk</t>
  </si>
  <si>
    <t>safety_risk|public_process|property_rights</t>
  </si>
  <si>
    <t>OK</t>
  </si>
  <si>
    <t>public_process|climate_energy</t>
  </si>
  <si>
    <t>water_impacts|wildlife_ecosystem</t>
  </si>
  <si>
    <t>VA</t>
  </si>
  <si>
    <t>MD</t>
  </si>
  <si>
    <t>water_impacts|property_rights</t>
  </si>
  <si>
    <t>NV</t>
  </si>
  <si>
    <t>public_process|water_impacts</t>
  </si>
  <si>
    <t>WA</t>
  </si>
  <si>
    <t>water_impacts|wildlife_ecosystem|recreation_tourism</t>
  </si>
  <si>
    <t>water_impacts|wildlife_ecosystem|property_rights|economics_jobs</t>
  </si>
  <si>
    <t>tribal</t>
  </si>
  <si>
    <t>wildlife_ecosystem|recreation_tourism|economics_jobs</t>
  </si>
  <si>
    <t>CT</t>
  </si>
  <si>
    <t>OH</t>
  </si>
  <si>
    <t>IL</t>
  </si>
  <si>
    <t>NC</t>
  </si>
  <si>
    <t>TX</t>
  </si>
  <si>
    <t>property_rights</t>
  </si>
  <si>
    <t>MA</t>
  </si>
  <si>
    <t>CO</t>
  </si>
  <si>
    <t>water_impacts|wildlife_ecosystem|cultural_historic</t>
  </si>
  <si>
    <t>property_rights|public_process</t>
  </si>
  <si>
    <t>public_process|water_impacts|wildlife_ecosystem</t>
  </si>
  <si>
    <t>IN</t>
  </si>
  <si>
    <t>public_process|climate_energy|safety_risk</t>
  </si>
  <si>
    <t>climate_energy|economics_jobs|public_process</t>
  </si>
  <si>
    <t>recreation_group</t>
  </si>
  <si>
    <t>water_impacts|economics_jobs</t>
  </si>
  <si>
    <t>VT</t>
  </si>
  <si>
    <t>water_impacts|wildlife_ecosystem|cultural_historic|economics_jobs</t>
  </si>
  <si>
    <t>wildlife_ecosystem|public_process</t>
  </si>
  <si>
    <t>public_process|property_rights</t>
  </si>
  <si>
    <t>economics_jobs|other</t>
  </si>
  <si>
    <t>water_impacts|wildlife_ecosystem|public_process|recreation_tourism|economics_jobs</t>
  </si>
  <si>
    <t>Michigan</t>
  </si>
  <si>
    <t>public_process|economics_jobs|climate_energy</t>
  </si>
  <si>
    <t>water_impacts|wildlife_ecosystem|property_rights</t>
  </si>
  <si>
    <t>water_impacts|wildlife_ecosystem|climate_energy|property_rights</t>
  </si>
  <si>
    <t>Louisiana</t>
  </si>
  <si>
    <t>property_rights|wildlife_ecosystem</t>
  </si>
  <si>
    <t>WV</t>
  </si>
  <si>
    <t>wildlife_ecosystem|water_impacts|public_process</t>
  </si>
  <si>
    <t>economics_jobs|property_rights</t>
  </si>
  <si>
    <t>water_impacts|recreation_tourism</t>
  </si>
  <si>
    <t>wildlife_ecosystem|climate_energy|water_impacts</t>
  </si>
  <si>
    <t>safety_risk|public_process</t>
  </si>
  <si>
    <t>economics_jobs|water_impacts</t>
  </si>
  <si>
    <t>GA</t>
  </si>
  <si>
    <t>water_impacts|safety_risk|property_rights</t>
  </si>
  <si>
    <t>wildlife_ecosystem|cultural_historic</t>
  </si>
  <si>
    <t>property_rights|cultural_historic</t>
  </si>
  <si>
    <t>water_impacts|wildlife_ecosystem|property_rights|climate_energy</t>
  </si>
  <si>
    <t>Wyoming</t>
  </si>
  <si>
    <t>property_rights|water_impacts|wildlife_ecosystem|safety_risk</t>
  </si>
  <si>
    <t>public_process|water_impacts|property_rights</t>
  </si>
  <si>
    <t>OR</t>
  </si>
  <si>
    <t>water_impacts|wildlife_ecosystem|public_process|economics_jobs</t>
  </si>
  <si>
    <t>safety_risk|public_process|water_impacts</t>
  </si>
  <si>
    <t>KS</t>
  </si>
  <si>
    <t>safety_risk|property_rights</t>
  </si>
  <si>
    <t>economics_jobs|water_impacts|climate_energy</t>
  </si>
  <si>
    <t>Kentucky</t>
  </si>
  <si>
    <t>recreation_tourism|water_impacts</t>
  </si>
  <si>
    <t>MT</t>
  </si>
  <si>
    <t>MI</t>
  </si>
  <si>
    <t>wildlife_ecosystem|water_impacts|economics_jobs</t>
  </si>
  <si>
    <t>RI</t>
  </si>
  <si>
    <t>water_impacts|recreation_tourism|economics_jobs|safety_risk</t>
  </si>
  <si>
    <t>public_process|safety_risk|wildlife_ecosystem</t>
  </si>
  <si>
    <t>water_impacts|public_process|wildlife_ecosystem</t>
  </si>
  <si>
    <t>safety_risk|water_impacts</t>
  </si>
  <si>
    <t>wildlife_ecosystem|property_rights|public_process</t>
  </si>
  <si>
    <t>water_impacts|public_process|climate_energy</t>
  </si>
  <si>
    <t>property_rights|wildlife_ecosystem|water_impacts</t>
  </si>
  <si>
    <t>wildlife_ecosystem|economics_jobs|climate_energy</t>
  </si>
  <si>
    <t>wildlife_ecosystem|water_impacts|recreation_tourism</t>
  </si>
  <si>
    <t>water_impacts|climate_energy|public_process</t>
  </si>
  <si>
    <t>public_process|cultural_historic</t>
  </si>
  <si>
    <t>gpt-5.4-mini</t>
  </si>
  <si>
    <t>other|other</t>
  </si>
  <si>
    <t>wildlife_ecosystem|public_process|recreation_tourism|cultural_historic|safety_risk</t>
  </si>
  <si>
    <t>wildlife_ecosystem|public_process|property_rights</t>
  </si>
  <si>
    <t>grid_reliability</t>
  </si>
  <si>
    <t>other|grid_reliability</t>
  </si>
  <si>
    <t>public_process|cultural_historic|other</t>
  </si>
  <si>
    <t>other|wildlife_ecosystem|climate_energy</t>
  </si>
  <si>
    <t>grid_reliability|climate_energy|economics_jobs</t>
  </si>
  <si>
    <t>California</t>
  </si>
  <si>
    <t>other|economics_jobs</t>
  </si>
  <si>
    <t>economics_jobs|public_process|other</t>
  </si>
  <si>
    <t>wildlife_ecosystem|public_process|recreation_tourism</t>
  </si>
  <si>
    <t>water_impacts|climate_energy</t>
  </si>
  <si>
    <t>other|property_rights</t>
  </si>
  <si>
    <t>climate_energy|economics_jobs|other</t>
  </si>
  <si>
    <t>public_process|safety_risk|other|wildlife_ecosystem|climate_energy</t>
  </si>
  <si>
    <t>other|wildlife_ecosystem|other</t>
  </si>
  <si>
    <t>other|economics_jobs|recreation_tourism|climate_energy</t>
  </si>
  <si>
    <t>economics_jobs|grid_reliability</t>
  </si>
  <si>
    <t>water_impacts|wildlife_ecosystem|other</t>
  </si>
  <si>
    <t>other|grid_reliability|climate_energy</t>
  </si>
  <si>
    <t>property_rights|other</t>
  </si>
  <si>
    <t>other|wildlife_ecosystem|recreation_tourism</t>
  </si>
  <si>
    <t>wildlife_ecosystem|recreation_tourism|safety_risk</t>
  </si>
  <si>
    <t>other|property_rights|water_impacts</t>
  </si>
  <si>
    <t>water_impacts|wildlife_ecosystem|property_rights|economics_jobs|grid_reliability</t>
  </si>
  <si>
    <t>water_impacts|wildlife_ecosystem|safety_risk|public_process|economics_jobs</t>
  </si>
  <si>
    <t>water_impacts|wildlife_ecosystem|recreation_tourism|economics_jobs</t>
  </si>
  <si>
    <t>grid_reliability|economics_jobs|other</t>
  </si>
  <si>
    <t>public_process|property_rights|water_impacts</t>
  </si>
  <si>
    <t>other|economics_jobs|grid_reliability</t>
  </si>
  <si>
    <t>wildlife_ecosystem|economics_jobs|recreation_tourism|public_process</t>
  </si>
  <si>
    <t>cultural_historic|other</t>
  </si>
  <si>
    <t>Alaska</t>
  </si>
  <si>
    <t>Washington</t>
  </si>
  <si>
    <t>wildlife_ecosystem|other</t>
  </si>
  <si>
    <t>other|water_impacts</t>
  </si>
  <si>
    <t>water_impacts|economics_jobs|climate_energy</t>
  </si>
  <si>
    <t>water_impacts|wildlife_ecosystem|cultural_historic|recreation_tourism|climate_energy</t>
  </si>
  <si>
    <t>other|climate_energy</t>
  </si>
  <si>
    <t>other|wildlife_ecosystem|public_process</t>
  </si>
  <si>
    <t>grid_reliability|climate_energy</t>
  </si>
  <si>
    <t>other|economics_jobs|climate_energy</t>
  </si>
  <si>
    <t>water_impacts|climate_energy|safety_risk|economics_jobs</t>
  </si>
  <si>
    <t>Virginia</t>
  </si>
  <si>
    <t>grid_reliability|economics_jobs</t>
  </si>
  <si>
    <t>public_process|other|property_rights|climate_energy</t>
  </si>
  <si>
    <t>water_impacts|recreation_tourism|economics_jobs</t>
  </si>
  <si>
    <t>Oklahoma</t>
  </si>
  <si>
    <t>other|other|cultural_historic|public_process</t>
  </si>
  <si>
    <t>other|wildlife_ecosystem|recreation_tourism|economics_jobs|cultural_historic</t>
  </si>
  <si>
    <t>grid_reliability|other</t>
  </si>
  <si>
    <t>New York</t>
  </si>
  <si>
    <t>other|wildlife_ecosystem|public_process|cultural_historic</t>
  </si>
  <si>
    <t>water_impacts|wildlife_ecosystem|public_process|recreation_tourism</t>
  </si>
  <si>
    <t>wildlife_ecosystem|recreation_tourism|economics_jobs|public_process</t>
  </si>
  <si>
    <t>Maine</t>
  </si>
  <si>
    <t>wildlife_ecosystem|property_rights|public_process|water_impacts</t>
  </si>
  <si>
    <t>wildlife_ecosystem|climate_energy|property_rights</t>
  </si>
  <si>
    <t>West Virginia</t>
  </si>
  <si>
    <t>other|grid_reliability|other</t>
  </si>
  <si>
    <t>water_impacts|wildlife_ecosystem|recreation_tourism|public_process</t>
  </si>
  <si>
    <t>public_process|other|economics_jobs</t>
  </si>
  <si>
    <t>other|other|public_process</t>
  </si>
  <si>
    <t>public_process|other</t>
  </si>
  <si>
    <t>climate_energy|economics_jobs|grid_reliability</t>
  </si>
  <si>
    <t>other|economics_jobs|property_rights|recreation_tourism</t>
  </si>
  <si>
    <t>wildlife_ecosystem|other|recreation_tourism|property_rights</t>
  </si>
  <si>
    <t>recreation_tourism|wildlife_ecosystem|cultural_historic</t>
  </si>
  <si>
    <t>wildlife_ecosystem|recreation_tourism</t>
  </si>
  <si>
    <t>Georgia</t>
  </si>
  <si>
    <t>other|wildlife_ecosystem|cultural_historic|recreation_tourism</t>
  </si>
  <si>
    <t>safety_risk|other|recreation_tourism|climate_energy</t>
  </si>
  <si>
    <t>other|economics_jobs|property_rights</t>
  </si>
  <si>
    <t>wildlife_ecosystem|recreation_tourism|cultural_historic</t>
  </si>
  <si>
    <t>other|cultural_historic|property_rights</t>
  </si>
  <si>
    <t>water_impacts|wildlife_ecosystem|economics_jobs|climate_energy</t>
  </si>
  <si>
    <t>water_impacts|wildlife_ecosystem|property_rights|safety_risk</t>
  </si>
  <si>
    <t>other|property_rights|safety_risk</t>
  </si>
  <si>
    <t>other|safety_risk</t>
  </si>
  <si>
    <t>wildlife_ecosystem|public_process|recreation_tourism|economics_jobs</t>
  </si>
  <si>
    <t>water_impacts|wildlife_ecosystem|climate_energy</t>
  </si>
  <si>
    <t>grid_reliability|public_process</t>
  </si>
  <si>
    <t>MO</t>
  </si>
  <si>
    <t>Kansas</t>
  </si>
  <si>
    <t>safety_risk|water_impacts|economics_jobs</t>
  </si>
  <si>
    <t>water_impacts|public_process|safety_risk</t>
  </si>
  <si>
    <t>water_impacts|economics_jobs|property_rights|climate_energy|public_process</t>
  </si>
  <si>
    <t>safety_risk|grid_reliability|climate_energy</t>
  </si>
  <si>
    <t>public_process|cultural_historic|recreation_tourism</t>
  </si>
  <si>
    <t>other|economics_jobs|public_process</t>
  </si>
  <si>
    <t>climate_energy|other|wildlife_ecosystem|economics_jobs</t>
  </si>
  <si>
    <t>climate_energy|wildlife_ecosystem|water_impacts</t>
  </si>
  <si>
    <t>other|wildlife_ecosystem</t>
  </si>
  <si>
    <t>wildlife_ecosystem|economics_jobs</t>
  </si>
  <si>
    <t>public_process|other|climate_energy</t>
  </si>
  <si>
    <t>grid_reliability|economics_jobs|climate_energy</t>
  </si>
  <si>
    <t>recreation_tourism|economics_jobs|safety_risk</t>
  </si>
  <si>
    <t>wildlife_ecosystem|public_process|safety_risk|water_impacts</t>
  </si>
  <si>
    <t>wildlife_ecosystem|recreation_tourism|water_impacts</t>
  </si>
  <si>
    <t>water_impacts|wildlife_ecosystem|recreation_tourism|property_rights</t>
  </si>
  <si>
    <t>property_rights|water_impacts|public_process</t>
  </si>
  <si>
    <t>Connecticut</t>
  </si>
  <si>
    <t>other|climate_energy|public_process</t>
  </si>
  <si>
    <t>economics_jobs|other|climate_energy</t>
  </si>
  <si>
    <t>public_process|water_impacts|wildlife_ecosystem|climate_energy</t>
  </si>
  <si>
    <t>other|wildlife_ecosystem|property_rights|public_process</t>
  </si>
  <si>
    <t>other|wildlife_ecosystem|economics_jobs|recreation_tourism</t>
  </si>
  <si>
    <t>other|public_process</t>
  </si>
  <si>
    <t>other|climate_energy|wildlife_ecosystem</t>
  </si>
  <si>
    <t>claude-sonnet-4-6</t>
  </si>
  <si>
    <t>economics_jobs|public_process|grid_reliability|other</t>
  </si>
  <si>
    <t>water_impacts|wildlife_ecosystem|recreation_tourism|cultural_historic|safety_risk|public_process</t>
  </si>
  <si>
    <t>water_impacts|wildlife_ecosystem|public_process|safety_risk</t>
  </si>
  <si>
    <t>economics_jobs|climate_energy|public_process</t>
  </si>
  <si>
    <t>grid_reliability|other|climate_energy</t>
  </si>
  <si>
    <t>cultural_historic|public_process|wildlife_ecosystem</t>
  </si>
  <si>
    <t>cultural_historic|water_impacts|public_process|wildlife_ecosystem</t>
  </si>
  <si>
    <t>economics_jobs|public_process|grid_reliability</t>
  </si>
  <si>
    <t>economics_jobs|public_process|safety_risk|wildlife_ecosystem</t>
  </si>
  <si>
    <t>wildlife_ecosystem|water_impacts|public_process|recreation_tourism</t>
  </si>
  <si>
    <t>wildlife_ecosystem|water_impacts|climate_energy</t>
  </si>
  <si>
    <t>recreation_tourism|public_process</t>
  </si>
  <si>
    <t>public_process|climate_energy|other</t>
  </si>
  <si>
    <t>wildlife_ecosystem|economics_jobs|water_impacts</t>
  </si>
  <si>
    <t>wildlife_ecosystem|water_impacts|public_process|climate_energy</t>
  </si>
  <si>
    <t>water_impacts|wildlife_ecosystem|public_process|climate_energy</t>
  </si>
  <si>
    <t>economics_jobs|grid_reliability|public_process|climate_energy</t>
  </si>
  <si>
    <t>safety_risk|public_process|wildlife_ecosystem|climate_energy|property_rights|cultural_historic|water_impacts</t>
  </si>
  <si>
    <t>public_process|economics_jobs|grid_reliability|water_impacts</t>
  </si>
  <si>
    <t>grid_reliability|climate_energy|safety_risk</t>
  </si>
  <si>
    <t>public_process|climate_energy|economics_jobs</t>
  </si>
  <si>
    <t>water_impacts|wildlife_ecosystem|recreation_tourism|economics_jobs|safety_risk</t>
  </si>
  <si>
    <t>property_rights|wildlife_ecosystem|economics_jobs|public_process|safety_risk</t>
  </si>
  <si>
    <t>MS</t>
  </si>
  <si>
    <t>wildlife_ecosystem|water_impacts|safety_risk|public_process</t>
  </si>
  <si>
    <t>wildlife_ecosystem|water_impacts|recreation_tourism|economics_jobs</t>
  </si>
  <si>
    <t>public_process|economics_jobs|climate_energy|grid_reliability</t>
  </si>
  <si>
    <t>water_impacts|public_process|wildlife_ecosystem|property_rights</t>
  </si>
  <si>
    <t>wildlife_ecosystem|water_impacts|economics_jobs|public_process</t>
  </si>
  <si>
    <t>cultural_historic|property_rights|wildlife_ecosystem</t>
  </si>
  <si>
    <t>wildlife_ecosystem|recreation_tourism|water_impacts|other</t>
  </si>
  <si>
    <t>economics_jobs|other|other</t>
  </si>
  <si>
    <t>AK</t>
  </si>
  <si>
    <t>climate_energy|water_impacts|wildlife_ecosystem</t>
  </si>
  <si>
    <t>public_process|economics_jobs|other</t>
  </si>
  <si>
    <t>economics_jobs|wildlife_ecosystem|water_impacts</t>
  </si>
  <si>
    <t>economics_jobs|water_impacts|climate_energy|wildlife_ecosystem</t>
  </si>
  <si>
    <t>wildlife_ecosystem|water_impacts|recreation_tourism|cultural_historic|climate_energy</t>
  </si>
  <si>
    <t>SC</t>
  </si>
  <si>
    <t>property_rights|public_process|other</t>
  </si>
  <si>
    <t>grid_reliability|climate_energy|public_process</t>
  </si>
  <si>
    <t>public_process|water_impacts|wildlife_ecosystem|property_rights</t>
  </si>
  <si>
    <t>public_process|climate_energy|grid_reliability</t>
  </si>
  <si>
    <t>public_process|climate_energy|safety_risk|water_impacts|economics_jobs</t>
  </si>
  <si>
    <t>climate_energy|economics_jobs|safety_risk</t>
  </si>
  <si>
    <t>public_process|water_impacts|climate_energy|wildlife_ecosystem</t>
  </si>
  <si>
    <t>property_rights|climate_energy|other</t>
  </si>
  <si>
    <t>economics_jobs|grid_reliability|public_process</t>
  </si>
  <si>
    <t>recreation_tourism|economics_jobs|water_impacts</t>
  </si>
  <si>
    <t>public_process|wildlife_ecosystem|recreation_tourism|economics_jobs|water_impacts</t>
  </si>
  <si>
    <t>public_process|economics_jobs|grid_reliability</t>
  </si>
  <si>
    <t>recreation_tourism|water_impacts|cultural_historic</t>
  </si>
  <si>
    <t>wildlife_ecosystem|water_impacts|recreation_tourism|cultural_historic|economics_jobs</t>
  </si>
  <si>
    <t>grid_reliability|public_process|economics_jobs</t>
  </si>
  <si>
    <t>wildlife_ecosystem|property_rights</t>
  </si>
  <si>
    <t>economics_jobs|grid_reliability|other</t>
  </si>
  <si>
    <t>wildlife_ecosystem|water_impacts|public_process|other</t>
  </si>
  <si>
    <t>public_process|property_rights|climate_energy|water_impacts</t>
  </si>
  <si>
    <t>climate_energy|water_impacts|cultural_historic</t>
  </si>
  <si>
    <t>wildlife_ecosystem|water_impacts|public_process|recreation_tourism|safety_risk</t>
  </si>
  <si>
    <t>wildlife_ecosystem|economics_jobs|public_process</t>
  </si>
  <si>
    <t>wildlife_ecosystem|water_impacts|recreation_tourism|economics_jobs|public_process</t>
  </si>
  <si>
    <t>economics_jobs|climate_energy|grid_reliability</t>
  </si>
  <si>
    <t>public_process|grid_reliability</t>
  </si>
  <si>
    <t>economics_jobs|public_process|climate_energy|grid_reliability</t>
  </si>
  <si>
    <t>property_rights|wildlife_ecosystem|water_impacts|safety_risk</t>
  </si>
  <si>
    <t>wildlife_ecosystem|water_impacts|climate_energy|property_rights|safety_risk</t>
  </si>
  <si>
    <t>ID</t>
  </si>
  <si>
    <t>public_process|wildlife_ecosystem|water_impacts</t>
  </si>
  <si>
    <t>safety_risk|water_impacts|property_rights</t>
  </si>
  <si>
    <t>public_process|economics_jobs|safety_risk</t>
  </si>
  <si>
    <t>wildlife_ecosystem|public_process|other</t>
  </si>
  <si>
    <t>economics_jobs|water_impacts|property_rights|safety_risk</t>
  </si>
  <si>
    <t>water_impacts|recreation_tourism|wildlife_ecosystem</t>
  </si>
  <si>
    <t>recreation_tourism|wildlife_ecosystem|economics_jobs</t>
  </si>
  <si>
    <t>economics_jobs|water_impacts|wildlife_ecosystem|climate_energy</t>
  </si>
  <si>
    <t>wildlife_ecosystem|water_impacts|cultural_historic</t>
  </si>
  <si>
    <t>water_impacts|safety_risk|property_rights|economics_jobs|public_process</t>
  </si>
  <si>
    <t>wildlife_ecosystem|water_impacts|climate_energy|public_process</t>
  </si>
  <si>
    <t>public_process|water_impacts|wildlife_ecosystem|other</t>
  </si>
  <si>
    <t>economics_jobs|safety_risk|wildlife_ecosystem</t>
  </si>
  <si>
    <t>property_rights|cultural_historic|wildlife_ecosystem</t>
  </si>
  <si>
    <t>economics_jobs|water_impacts|public_process|safety_risk</t>
  </si>
  <si>
    <t>water_impacts|wildlife_ecosystem|recreation_tourism|cultural_historic</t>
  </si>
  <si>
    <t>safety_risk|water_impacts|wildlife_ecosystem|property_rights|climate_energy</t>
  </si>
  <si>
    <t>wildlife_ecosystem|water_impacts|other</t>
  </si>
  <si>
    <t>wildlife_ecosystem|water_impacts|economics_jobs|property_rights|climate_energy</t>
  </si>
  <si>
    <t>property_rights|safety_risk|water_impacts|wildlife_ecosystem|other</t>
  </si>
  <si>
    <t>grid_reliability|economics_jobs|public_process|climate_energy</t>
  </si>
  <si>
    <t>public_process|water_impacts|safety_risk</t>
  </si>
  <si>
    <t>safety_risk|wildlife_ecosystem|other</t>
  </si>
  <si>
    <t>safety_risk|other</t>
  </si>
  <si>
    <t>wildlife_ecosystem|water_impacts|recreation_tourism|economics_jobs|public_process|climate_energy</t>
  </si>
  <si>
    <t>wildlife_ecosystem|water_impacts|climate_energy|economics_jobs</t>
  </si>
  <si>
    <t>safety_risk|public_process|wildlife_ecosystem</t>
  </si>
  <si>
    <t>other|economics_jobs|other</t>
  </si>
  <si>
    <t>economics_jobs|climate_energy|public_process|grid_reliability</t>
  </si>
  <si>
    <t>safety_risk|wildlife_ecosystem|climate_energy|property_rights|economics_jobs</t>
  </si>
  <si>
    <t>water_impacts|climate_energy|safety_risk|wildlife_ecosystem</t>
  </si>
  <si>
    <t>economics_jobs|water_impacts|climate_energy|property_rights|safety_risk</t>
  </si>
  <si>
    <t>public_process|climate_energy|economics_jobs|safety_risk</t>
  </si>
  <si>
    <t>cultural_historic|public_process|safety_risk</t>
  </si>
  <si>
    <t>economics_jobs|climate_energy|wildlife_ecosystem</t>
  </si>
  <si>
    <t>recreation_tourism|water_impacts|public_process</t>
  </si>
  <si>
    <t>climate_energy|wildlife_ecosystem|public_process|safety_risk</t>
  </si>
  <si>
    <t>wildlife_ecosystem|water_impacts|public_process|safety_risk</t>
  </si>
  <si>
    <t>climate_energy|safety_risk|public_process|wildlife_ecosystem</t>
  </si>
  <si>
    <t>climate_energy|other|economics_jobs</t>
  </si>
  <si>
    <t>safety_risk|property_rights|climate_energy</t>
  </si>
  <si>
    <t>water_impacts|property_rights|recreation_tourism|economics_jobs|safety_risk</t>
  </si>
  <si>
    <t>public_process|wildlife_ecosystem|safety_risk|water_impacts</t>
  </si>
  <si>
    <t>wildlife_ecosystem|recreation_tourism|water_impacts|public_process</t>
  </si>
  <si>
    <t>water_impacts|property_rights|safety_risk</t>
  </si>
  <si>
    <t>wildlife_ecosystem|water_impacts|recreation_tourism|public_process</t>
  </si>
  <si>
    <t>wildlife_ecosystem|water_impacts|property_rights|public_process</t>
  </si>
  <si>
    <t>economics_jobs|wildlife_ecosystem|public_process</t>
  </si>
  <si>
    <t>water_impacts|climate_energy|public_process|wildlife_ecosystem</t>
  </si>
  <si>
    <t>recreation_tourism|water_impacts|wildlife_ecosystem|economics_jobs</t>
  </si>
  <si>
    <t>wildlife_ecosystem|property_rights|climate_energy|public_process</t>
  </si>
  <si>
    <t>wildlife_ecosystem|economics_jobs|climate_energy|recreation_tourism</t>
  </si>
  <si>
    <t>economics_jobs|grid_reliability|climate_energy</t>
  </si>
  <si>
    <t>public_process|climate_energy|water_impacts</t>
  </si>
  <si>
    <t>wildlife_ecosystem|water_impacts|recreation_tourism|property_rights</t>
  </si>
  <si>
    <t>water_impacts|climate_energy|public_process|safety_risk</t>
  </si>
  <si>
    <t>wildlife_ecosystem|safety_risk|public_process</t>
  </si>
  <si>
    <t>Neutral</t>
  </si>
  <si>
    <t>Support with Changes</t>
  </si>
  <si>
    <t>Feedback Theme</t>
  </si>
  <si>
    <t>Project Type</t>
  </si>
  <si>
    <t>Commenter Type</t>
  </si>
  <si>
    <t>Project State</t>
  </si>
  <si>
    <t>Project Region</t>
  </si>
  <si>
    <t>public process</t>
  </si>
  <si>
    <t>market rate</t>
  </si>
  <si>
    <t>Unknown</t>
  </si>
  <si>
    <t>hydropower</t>
  </si>
  <si>
    <t>Oppose</t>
  </si>
  <si>
    <t>environment wildlife</t>
  </si>
  <si>
    <t>hydro</t>
  </si>
  <si>
    <t>water impacts</t>
  </si>
  <si>
    <t>electric_transmission</t>
  </si>
  <si>
    <t>Support</t>
  </si>
  <si>
    <t>economics jobs</t>
  </si>
  <si>
    <t>natural gas</t>
  </si>
  <si>
    <t xml:space="preserve">FL </t>
  </si>
  <si>
    <t>south</t>
  </si>
  <si>
    <t>natural_gas_pipeline</t>
  </si>
  <si>
    <t xml:space="preserve">KY </t>
  </si>
  <si>
    <t>lng_terminal</t>
  </si>
  <si>
    <t>health_safety</t>
  </si>
  <si>
    <t>Midwest</t>
  </si>
  <si>
    <t>cost economics</t>
  </si>
  <si>
    <t>reliability energy</t>
  </si>
  <si>
    <t>company</t>
  </si>
  <si>
    <t>individual</t>
  </si>
  <si>
    <t xml:space="preserve"> northeast</t>
  </si>
  <si>
    <t>US</t>
  </si>
  <si>
    <t>national</t>
  </si>
  <si>
    <t>Northeast</t>
  </si>
  <si>
    <t>west</t>
  </si>
  <si>
    <t>legal reglatory</t>
  </si>
  <si>
    <t>land use</t>
  </si>
  <si>
    <t>environment pollution</t>
  </si>
  <si>
    <t>solar</t>
  </si>
  <si>
    <t>market_rate</t>
  </si>
  <si>
    <t>Northwest</t>
  </si>
  <si>
    <t>South_Central</t>
  </si>
  <si>
    <t>NE</t>
  </si>
  <si>
    <t>safety</t>
  </si>
  <si>
    <t>NGO</t>
  </si>
  <si>
    <t>reliability grid</t>
  </si>
  <si>
    <t>Southwest</t>
  </si>
  <si>
    <t>oil_pipeline</t>
  </si>
  <si>
    <t>organization</t>
  </si>
  <si>
    <t>Southeast</t>
  </si>
  <si>
    <t>East</t>
  </si>
  <si>
    <t>West</t>
  </si>
  <si>
    <t>Manually Identified Stance</t>
  </si>
  <si>
    <t>Number Correct</t>
  </si>
  <si>
    <t>Total Manually Identified Entries</t>
  </si>
  <si>
    <t>Recall (%)</t>
  </si>
  <si>
    <t>Total</t>
  </si>
  <si>
    <t>SUMMARY STATISTICS</t>
  </si>
  <si>
    <t>Total PDFs Analyzed</t>
  </si>
  <si>
    <t>Count</t>
  </si>
  <si>
    <t>Hand Code</t>
  </si>
  <si>
    <t>Gemini</t>
  </si>
  <si>
    <t>GPT</t>
  </si>
  <si>
    <t>Claude</t>
  </si>
  <si>
    <t>3 Models Agree?</t>
  </si>
  <si>
    <t>Hand = Consensus?</t>
  </si>
  <si>
    <t>All 3 Agree &amp; Hand Differs</t>
  </si>
  <si>
    <t>Model Consensus Label</t>
  </si>
  <si>
    <t>Cases All 3 Models Agree</t>
  </si>
  <si>
    <t>Hand Agrees with Consensus</t>
  </si>
  <si>
    <t>All 3 Agree BUT Hand Disagrees</t>
  </si>
  <si>
    <t>Majority Agree</t>
  </si>
  <si>
    <t>Consensus Disagree</t>
  </si>
  <si>
    <t>% of Disagreements</t>
  </si>
  <si>
    <t>OVERALL MODEL AGREEMENT RATES</t>
  </si>
  <si>
    <t>Model</t>
  </si>
  <si>
    <t>Agrees with Hand</t>
  </si>
  <si>
    <t>Agreement %</t>
  </si>
  <si>
    <t>other_generation</t>
  </si>
  <si>
    <t>wind</t>
  </si>
  <si>
    <t>llm_project_type</t>
  </si>
  <si>
    <t>Manually Identified Category</t>
  </si>
  <si>
    <t>Sentiment (llm_support_label)</t>
  </si>
  <si>
    <t>Resolved (auto)</t>
  </si>
  <si>
    <t>Hand Col #</t>
  </si>
  <si>
    <t>Model Col #</t>
  </si>
  <si>
    <t>Disagree Type</t>
  </si>
  <si>
    <t>DISAGREEMENT DETAIL: Hand → Model Consensus</t>
  </si>
  <si>
    <t>Hand Value → Model Consensus</t>
  </si>
  <si>
    <t>AGREEMENT BY HAND-CODED CATEGORY</t>
  </si>
  <si>
    <t>Category</t>
  </si>
  <si>
    <t>Agree %</t>
  </si>
  <si>
    <t>FIELD SELECTOR:</t>
  </si>
  <si>
    <t>llm_support_level (Sentiment/Support Level)</t>
  </si>
  <si>
    <t>Jess - Support Label</t>
  </si>
  <si>
    <t>HC - Support Label</t>
  </si>
  <si>
    <t>Support Match?</t>
  </si>
  <si>
    <t>Jess - Feedback Theme</t>
  </si>
  <si>
    <t>HC - Feedback Theme</t>
  </si>
  <si>
    <t>Theme Match?</t>
  </si>
  <si>
    <t>Jess - Project Type</t>
  </si>
  <si>
    <t>HC - Project Type</t>
  </si>
  <si>
    <t>Type Match?</t>
  </si>
  <si>
    <t>Jess - Commenter Type</t>
  </si>
  <si>
    <t>HC - Commenter Type</t>
  </si>
  <si>
    <t>Commenter Match?</t>
  </si>
  <si>
    <t>Jess - State</t>
  </si>
  <si>
    <t>HC - State</t>
  </si>
  <si>
    <t>State Match?</t>
  </si>
  <si>
    <t>Jess - Region</t>
  </si>
  <si>
    <t>HC - Region</t>
  </si>
  <si>
    <t>Region Match?</t>
  </si>
  <si>
    <t># Mismatches</t>
  </si>
  <si>
    <t>NEEDS REVIEW?</t>
  </si>
  <si>
    <t>multiple states</t>
  </si>
  <si>
    <t>organziation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</si>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</sst>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"/>
  </numFmts>
  <fonts count="2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88888"/>
      <name val="Calibri"/>
      <family val="2"/>
      <scheme val="minor"/>
    </font>
    <font>
      <b/>
      <sz val="11"/>
      <color rgb="FF888888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0"/>
      <color theme="1"/>
      <name val="Helvetica Neue"/>
      <family val="2"/>
    </font>
    <font>
      <sz val="12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4472C4"/>
      </top>
      <bottom style="thin">
        <color rgb="FFB4C6E7"/>
      </bottom>
      <diagonal/>
    </border>
    <border>
      <left style="thin">
        <color rgb="FF4472C4"/>
      </left>
      <right style="thin">
        <color rgb="FFB4C6E7"/>
      </right>
      <top style="thin">
        <color rgb="FF4472C4"/>
      </top>
      <bottom style="thin">
        <color rgb="FFB4C6E7"/>
      </bottom>
      <diagonal/>
    </border>
    <border>
      <left style="thin">
        <color rgb="FF4472C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4472C4"/>
      </right>
      <top style="thin">
        <color rgb="FF4472C4"/>
      </top>
      <bottom style="thin">
        <color rgb="FFB4C6E7"/>
      </bottom>
      <diagonal/>
    </border>
    <border>
      <left style="thin">
        <color rgb="FFB4C6E7"/>
      </left>
      <right style="thin">
        <color rgb="FF4472C4"/>
      </right>
      <top style="thin">
        <color rgb="FFB4C6E7"/>
      </top>
      <bottom style="thin">
        <color rgb="FFB4C6E7"/>
      </bottom>
      <diagonal/>
    </border>
    <border>
      <left style="thin">
        <color rgb="FF4472C4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4472C4"/>
      </right>
      <top style="thin">
        <color rgb="FFB4C6E7"/>
      </top>
      <bottom/>
      <diagonal/>
    </border>
    <border>
      <left style="thin">
        <color rgb="FF4472C4"/>
      </left>
      <right style="thin">
        <color rgb="FFB4C6E7"/>
      </right>
      <top style="medium">
        <color rgb="FF4472C4"/>
      </top>
      <bottom style="thin">
        <color rgb="FF4472C4"/>
      </bottom>
      <diagonal/>
    </border>
    <border>
      <left style="thin">
        <color rgb="FFB4C6E7"/>
      </left>
      <right style="thin">
        <color rgb="FFB4C6E7"/>
      </right>
      <top style="medium">
        <color rgb="FF4472C4"/>
      </top>
      <bottom style="thin">
        <color rgb="FF4472C4"/>
      </bottom>
      <diagonal/>
    </border>
    <border>
      <left style="thin">
        <color rgb="FFB4C6E7"/>
      </left>
      <right style="thin">
        <color rgb="FF4472C4"/>
      </right>
      <top style="medium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2" borderId="5" xfId="0" applyFont="1" applyFill="1" applyBorder="1"/>
    <xf numFmtId="0" fontId="0" fillId="0" borderId="6" xfId="0" applyBorder="1"/>
    <xf numFmtId="0" fontId="0" fillId="0" borderId="9" xfId="0" applyBorder="1"/>
    <xf numFmtId="0" fontId="11" fillId="3" borderId="11" xfId="0" applyFont="1" applyFill="1" applyBorder="1"/>
    <xf numFmtId="0" fontId="0" fillId="0" borderId="2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164" fontId="11" fillId="3" borderId="13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2" fillId="4" borderId="0" xfId="0" applyFont="1" applyFill="1"/>
    <xf numFmtId="0" fontId="0" fillId="4" borderId="0" xfId="0" applyFill="1"/>
    <xf numFmtId="0" fontId="11" fillId="0" borderId="0" xfId="0" applyFont="1"/>
    <xf numFmtId="164" fontId="0" fillId="0" borderId="0" xfId="0" applyNumberFormat="1"/>
    <xf numFmtId="0" fontId="13" fillId="0" borderId="0" xfId="0" applyFont="1"/>
    <xf numFmtId="0" fontId="11" fillId="5" borderId="0" xfId="0" applyFont="1" applyFill="1"/>
    <xf numFmtId="0" fontId="1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0" fillId="4" borderId="0" xfId="0" applyFont="1" applyFill="1"/>
    <xf numFmtId="0" fontId="14" fillId="4" borderId="0" xfId="0" applyFont="1" applyFill="1"/>
    <xf numFmtId="165" fontId="0" fillId="0" borderId="0" xfId="0" applyNumberFormat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6" borderId="0" xfId="0" applyFont="1" applyFill="1"/>
    <xf numFmtId="164" fontId="0" fillId="4" borderId="0" xfId="0" applyNumberFormat="1" applyFill="1" applyAlignment="1">
      <alignment horizontal="center"/>
    </xf>
    <xf numFmtId="164" fontId="11" fillId="0" borderId="0" xfId="0" applyNumberFormat="1" applyFont="1" applyAlignment="1">
      <alignment horizontal="center"/>
    </xf>
    <xf numFmtId="164" fontId="11" fillId="5" borderId="0" xfId="0" applyNumberFormat="1" applyFont="1" applyFill="1" applyAlignment="1">
      <alignment horizontal="center"/>
    </xf>
    <xf numFmtId="0" fontId="19" fillId="0" borderId="0" xfId="0" applyFont="1"/>
    <xf numFmtId="0" fontId="20" fillId="0" borderId="0" xfId="0" applyFont="1"/>
    <xf numFmtId="0" fontId="7" fillId="0" borderId="0" xfId="0" applyFont="1"/>
    <xf numFmtId="0" fontId="10" fillId="7" borderId="0" xfId="0" applyFont="1" applyFill="1"/>
  </cellXfs>
  <cellStyles count="1">
    <cellStyle name="Normal" xfId="0" builtinId="0"/>
  </cellStyles>
  <dxfs count="19">
    <dxf>
      <font>
        <b/>
        <i val="0"/>
        <color rgb="FFFF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0B2"/>
        </patternFill>
      </fill>
    </dxf>
    <dxf>
      <font>
        <color rgb="FF808080"/>
      </font>
      <fill>
        <patternFill patternType="solid">
          <fgColor indexed="64"/>
          <bgColor rgb="FFD9D9D9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86A2FA-A437-134E-8E6B-0C22F5D913B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43d8e21-66fb-4e38-bc9d-aae17fee5b7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opLeftCell="F208" workbookViewId="0">
      <selection activeCell="L3" sqref="L3"/>
    </sheetView>
  </sheetViews>
  <sheetFormatPr baseColWidth="10" defaultColWidth="8.83203125" defaultRowHeight="15" x14ac:dyDescent="0.2"/>
  <cols>
    <col min="1" max="12" width="25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>
        <v>5699</v>
      </c>
      <c r="B2" t="s">
        <v>11</v>
      </c>
      <c r="C2" t="s">
        <v>12</v>
      </c>
      <c r="D2" t="s">
        <v>12</v>
      </c>
      <c r="E2">
        <v>0</v>
      </c>
      <c r="F2" t="s">
        <v>13</v>
      </c>
      <c r="G2" t="s">
        <v>420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2">
      <c r="A3">
        <v>4699</v>
      </c>
      <c r="B3" t="s">
        <v>11</v>
      </c>
      <c r="C3" t="s">
        <v>19</v>
      </c>
      <c r="D3" t="s">
        <v>20</v>
      </c>
      <c r="E3">
        <v>1</v>
      </c>
      <c r="F3" t="s">
        <v>381</v>
      </c>
      <c r="G3" t="s">
        <v>391</v>
      </c>
      <c r="H3" t="s">
        <v>21</v>
      </c>
      <c r="I3" t="s">
        <v>22</v>
      </c>
      <c r="J3" t="s">
        <v>23</v>
      </c>
      <c r="K3" t="s">
        <v>17</v>
      </c>
      <c r="L3" t="s">
        <v>390</v>
      </c>
    </row>
    <row r="4" spans="1:12" x14ac:dyDescent="0.2">
      <c r="A4">
        <v>9753</v>
      </c>
      <c r="B4" t="s">
        <v>11</v>
      </c>
      <c r="C4" t="s">
        <v>19</v>
      </c>
      <c r="D4" t="s">
        <v>19</v>
      </c>
      <c r="E4">
        <v>0</v>
      </c>
      <c r="F4" t="s">
        <v>382</v>
      </c>
      <c r="G4" t="s">
        <v>420</v>
      </c>
      <c r="H4" t="s">
        <v>21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2">
      <c r="A5">
        <v>3658</v>
      </c>
      <c r="B5" t="s">
        <v>11</v>
      </c>
      <c r="C5" t="s">
        <v>12</v>
      </c>
      <c r="D5" t="s">
        <v>12</v>
      </c>
      <c r="E5">
        <v>0</v>
      </c>
      <c r="F5" t="s">
        <v>382</v>
      </c>
      <c r="G5" t="s">
        <v>391</v>
      </c>
      <c r="H5" t="s">
        <v>28</v>
      </c>
      <c r="I5" t="s">
        <v>29</v>
      </c>
      <c r="J5" t="s">
        <v>30</v>
      </c>
      <c r="K5" t="s">
        <v>26</v>
      </c>
      <c r="L5" t="s">
        <v>31</v>
      </c>
    </row>
    <row r="6" spans="1:12" x14ac:dyDescent="0.2">
      <c r="A6">
        <v>7316</v>
      </c>
      <c r="B6" t="s">
        <v>11</v>
      </c>
      <c r="C6" t="s">
        <v>12</v>
      </c>
      <c r="D6" t="s">
        <v>12</v>
      </c>
      <c r="E6">
        <v>0</v>
      </c>
      <c r="F6" t="s">
        <v>13</v>
      </c>
      <c r="G6" t="s">
        <v>391</v>
      </c>
      <c r="H6" t="s">
        <v>28</v>
      </c>
      <c r="I6" t="s">
        <v>390</v>
      </c>
      <c r="J6" t="s">
        <v>30</v>
      </c>
      <c r="K6" t="s">
        <v>17</v>
      </c>
      <c r="L6" t="s">
        <v>17</v>
      </c>
    </row>
    <row r="7" spans="1:12" x14ac:dyDescent="0.2">
      <c r="A7">
        <v>3504</v>
      </c>
      <c r="B7" t="s">
        <v>11</v>
      </c>
      <c r="C7" t="s">
        <v>12</v>
      </c>
      <c r="D7" t="s">
        <v>12</v>
      </c>
      <c r="E7">
        <v>0</v>
      </c>
      <c r="F7" t="s">
        <v>32</v>
      </c>
      <c r="G7" t="s">
        <v>391</v>
      </c>
      <c r="H7" t="s">
        <v>14</v>
      </c>
      <c r="I7" t="s">
        <v>390</v>
      </c>
      <c r="J7" t="s">
        <v>30</v>
      </c>
      <c r="K7" t="s">
        <v>33</v>
      </c>
      <c r="L7" t="s">
        <v>34</v>
      </c>
    </row>
    <row r="8" spans="1:12" x14ac:dyDescent="0.2">
      <c r="A8">
        <v>2910</v>
      </c>
      <c r="B8" t="s">
        <v>11</v>
      </c>
      <c r="C8" t="s">
        <v>12</v>
      </c>
      <c r="D8" t="s">
        <v>12</v>
      </c>
      <c r="E8">
        <v>0</v>
      </c>
      <c r="F8" t="s">
        <v>13</v>
      </c>
      <c r="G8" t="s">
        <v>391</v>
      </c>
      <c r="H8" t="s">
        <v>14</v>
      </c>
      <c r="I8" t="s">
        <v>390</v>
      </c>
      <c r="J8" t="s">
        <v>23</v>
      </c>
      <c r="K8" t="s">
        <v>17</v>
      </c>
      <c r="L8" t="s">
        <v>35</v>
      </c>
    </row>
    <row r="9" spans="1:12" x14ac:dyDescent="0.2">
      <c r="A9">
        <v>3227</v>
      </c>
      <c r="B9" t="s">
        <v>11</v>
      </c>
      <c r="C9" t="s">
        <v>12</v>
      </c>
      <c r="D9" t="s">
        <v>12</v>
      </c>
      <c r="E9">
        <v>0</v>
      </c>
      <c r="F9" t="s">
        <v>382</v>
      </c>
      <c r="G9" t="s">
        <v>391</v>
      </c>
      <c r="H9" t="s">
        <v>28</v>
      </c>
      <c r="I9" t="s">
        <v>390</v>
      </c>
      <c r="J9" t="s">
        <v>36</v>
      </c>
      <c r="K9" t="s">
        <v>37</v>
      </c>
      <c r="L9" t="s">
        <v>37</v>
      </c>
    </row>
    <row r="10" spans="1:12" x14ac:dyDescent="0.2">
      <c r="A10">
        <v>5810</v>
      </c>
      <c r="B10" t="s">
        <v>11</v>
      </c>
      <c r="C10" t="s">
        <v>12</v>
      </c>
      <c r="D10" t="s">
        <v>12</v>
      </c>
      <c r="E10">
        <v>0</v>
      </c>
      <c r="F10" t="s">
        <v>382</v>
      </c>
      <c r="G10" t="s">
        <v>391</v>
      </c>
      <c r="H10" t="s">
        <v>14</v>
      </c>
      <c r="I10" t="s">
        <v>38</v>
      </c>
      <c r="J10" t="s">
        <v>23</v>
      </c>
      <c r="K10" t="s">
        <v>39</v>
      </c>
      <c r="L10" t="s">
        <v>40</v>
      </c>
    </row>
    <row r="11" spans="1:12" x14ac:dyDescent="0.2">
      <c r="A11">
        <v>6468</v>
      </c>
      <c r="B11" t="s">
        <v>11</v>
      </c>
      <c r="C11" t="s">
        <v>19</v>
      </c>
      <c r="D11" t="s">
        <v>20</v>
      </c>
      <c r="E11">
        <v>1</v>
      </c>
      <c r="F11" t="s">
        <v>381</v>
      </c>
      <c r="G11" t="s">
        <v>420</v>
      </c>
      <c r="H11" t="s">
        <v>21</v>
      </c>
      <c r="I11" t="s">
        <v>41</v>
      </c>
      <c r="J11" t="s">
        <v>42</v>
      </c>
      <c r="K11" t="s">
        <v>17</v>
      </c>
      <c r="L11" t="s">
        <v>39</v>
      </c>
    </row>
    <row r="12" spans="1:12" x14ac:dyDescent="0.2">
      <c r="A12">
        <v>10180</v>
      </c>
      <c r="B12" t="s">
        <v>11</v>
      </c>
      <c r="C12" t="s">
        <v>12</v>
      </c>
      <c r="D12" t="s">
        <v>12</v>
      </c>
      <c r="E12">
        <v>0</v>
      </c>
      <c r="F12" t="s">
        <v>13</v>
      </c>
      <c r="G12" t="s">
        <v>420</v>
      </c>
      <c r="H12" t="s">
        <v>28</v>
      </c>
      <c r="I12" t="s">
        <v>390</v>
      </c>
      <c r="J12" t="s">
        <v>23</v>
      </c>
      <c r="K12" t="s">
        <v>37</v>
      </c>
      <c r="L12" t="s">
        <v>43</v>
      </c>
    </row>
    <row r="13" spans="1:12" x14ac:dyDescent="0.2">
      <c r="A13">
        <v>7264</v>
      </c>
      <c r="B13" t="s">
        <v>11</v>
      </c>
      <c r="C13" t="s">
        <v>12</v>
      </c>
      <c r="D13" t="s">
        <v>12</v>
      </c>
      <c r="E13">
        <v>0</v>
      </c>
      <c r="F13" t="s">
        <v>382</v>
      </c>
      <c r="G13" t="s">
        <v>402</v>
      </c>
      <c r="H13" t="s">
        <v>44</v>
      </c>
      <c r="I13" t="s">
        <v>45</v>
      </c>
      <c r="J13" t="s">
        <v>42</v>
      </c>
      <c r="K13" t="s">
        <v>39</v>
      </c>
      <c r="L13" t="s">
        <v>46</v>
      </c>
    </row>
    <row r="14" spans="1:12" x14ac:dyDescent="0.2">
      <c r="A14">
        <v>9707</v>
      </c>
      <c r="B14" t="s">
        <v>11</v>
      </c>
      <c r="C14" t="s">
        <v>12</v>
      </c>
      <c r="D14" t="s">
        <v>19</v>
      </c>
      <c r="E14">
        <v>1</v>
      </c>
      <c r="F14" t="s">
        <v>32</v>
      </c>
      <c r="G14" t="s">
        <v>459</v>
      </c>
      <c r="H14" t="s">
        <v>21</v>
      </c>
      <c r="I14" t="s">
        <v>45</v>
      </c>
      <c r="J14" t="s">
        <v>42</v>
      </c>
      <c r="K14" t="s">
        <v>47</v>
      </c>
      <c r="L14" t="s">
        <v>48</v>
      </c>
    </row>
    <row r="15" spans="1:12" x14ac:dyDescent="0.2">
      <c r="A15">
        <v>4866</v>
      </c>
      <c r="B15" t="s">
        <v>11</v>
      </c>
      <c r="C15" t="s">
        <v>12</v>
      </c>
      <c r="D15" t="s">
        <v>12</v>
      </c>
      <c r="E15">
        <v>0</v>
      </c>
      <c r="F15" t="s">
        <v>13</v>
      </c>
      <c r="G15" t="s">
        <v>391</v>
      </c>
      <c r="H15" t="s">
        <v>21</v>
      </c>
      <c r="I15" t="s">
        <v>49</v>
      </c>
      <c r="J15" t="s">
        <v>16</v>
      </c>
      <c r="K15" t="s">
        <v>33</v>
      </c>
      <c r="L15" t="s">
        <v>33</v>
      </c>
    </row>
    <row r="16" spans="1:12" x14ac:dyDescent="0.2">
      <c r="A16">
        <v>3280</v>
      </c>
      <c r="B16" t="s">
        <v>11</v>
      </c>
      <c r="C16" t="s">
        <v>12</v>
      </c>
      <c r="D16" t="s">
        <v>12</v>
      </c>
      <c r="E16">
        <v>0</v>
      </c>
      <c r="F16" t="s">
        <v>32</v>
      </c>
      <c r="G16" t="s">
        <v>391</v>
      </c>
      <c r="H16" t="s">
        <v>28</v>
      </c>
      <c r="I16" t="s">
        <v>50</v>
      </c>
      <c r="J16" t="s">
        <v>51</v>
      </c>
      <c r="K16" t="s">
        <v>33</v>
      </c>
      <c r="L16" t="s">
        <v>52</v>
      </c>
    </row>
    <row r="17" spans="1:12" x14ac:dyDescent="0.2">
      <c r="A17">
        <v>2307</v>
      </c>
      <c r="B17" t="s">
        <v>11</v>
      </c>
      <c r="C17" t="s">
        <v>12</v>
      </c>
      <c r="D17" t="s">
        <v>12</v>
      </c>
      <c r="E17">
        <v>0</v>
      </c>
      <c r="F17" t="s">
        <v>382</v>
      </c>
      <c r="G17" t="s">
        <v>402</v>
      </c>
      <c r="H17" t="s">
        <v>14</v>
      </c>
      <c r="I17" t="s">
        <v>49</v>
      </c>
      <c r="J17" t="s">
        <v>16</v>
      </c>
      <c r="K17" t="s">
        <v>17</v>
      </c>
      <c r="L17" t="s">
        <v>31</v>
      </c>
    </row>
    <row r="18" spans="1:12" x14ac:dyDescent="0.2">
      <c r="A18">
        <v>5174</v>
      </c>
      <c r="B18" t="s">
        <v>11</v>
      </c>
      <c r="C18" t="s">
        <v>12</v>
      </c>
      <c r="D18" t="s">
        <v>12</v>
      </c>
      <c r="E18">
        <v>0</v>
      </c>
      <c r="F18" t="s">
        <v>13</v>
      </c>
      <c r="G18" t="s">
        <v>402</v>
      </c>
      <c r="H18" t="s">
        <v>28</v>
      </c>
      <c r="I18" t="s">
        <v>390</v>
      </c>
      <c r="J18" t="s">
        <v>30</v>
      </c>
      <c r="K18" t="s">
        <v>37</v>
      </c>
      <c r="L18" t="s">
        <v>53</v>
      </c>
    </row>
    <row r="19" spans="1:12" x14ac:dyDescent="0.2">
      <c r="A19">
        <v>5807</v>
      </c>
      <c r="B19" t="s">
        <v>11</v>
      </c>
      <c r="C19" t="s">
        <v>12</v>
      </c>
      <c r="D19" t="s">
        <v>12</v>
      </c>
      <c r="E19">
        <v>0</v>
      </c>
      <c r="F19" t="s">
        <v>382</v>
      </c>
      <c r="G19" t="s">
        <v>402</v>
      </c>
      <c r="H19" t="s">
        <v>28</v>
      </c>
      <c r="I19" t="s">
        <v>29</v>
      </c>
      <c r="J19" t="s">
        <v>30</v>
      </c>
      <c r="K19" t="s">
        <v>54</v>
      </c>
      <c r="L19" t="s">
        <v>17</v>
      </c>
    </row>
    <row r="20" spans="1:12" x14ac:dyDescent="0.2">
      <c r="A20">
        <v>5844</v>
      </c>
      <c r="B20" t="s">
        <v>11</v>
      </c>
      <c r="C20" t="s">
        <v>12</v>
      </c>
      <c r="D20" t="s">
        <v>20</v>
      </c>
      <c r="E20">
        <v>1</v>
      </c>
      <c r="F20" t="s">
        <v>381</v>
      </c>
      <c r="G20" t="s">
        <v>402</v>
      </c>
      <c r="H20" t="s">
        <v>36</v>
      </c>
      <c r="I20" t="s">
        <v>390</v>
      </c>
      <c r="J20" t="s">
        <v>23</v>
      </c>
      <c r="K20" t="s">
        <v>55</v>
      </c>
      <c r="L20" t="s">
        <v>390</v>
      </c>
    </row>
    <row r="21" spans="1:12" x14ac:dyDescent="0.2">
      <c r="A21">
        <v>2969</v>
      </c>
      <c r="B21" t="s">
        <v>11</v>
      </c>
      <c r="C21" t="s">
        <v>12</v>
      </c>
      <c r="D21" t="s">
        <v>12</v>
      </c>
      <c r="E21">
        <v>0</v>
      </c>
      <c r="F21" t="s">
        <v>32</v>
      </c>
      <c r="G21" t="s">
        <v>404</v>
      </c>
      <c r="H21" t="s">
        <v>56</v>
      </c>
      <c r="I21" t="s">
        <v>390</v>
      </c>
      <c r="J21" t="s">
        <v>23</v>
      </c>
      <c r="K21" t="s">
        <v>17</v>
      </c>
      <c r="L21" t="s">
        <v>17</v>
      </c>
    </row>
    <row r="22" spans="1:12" x14ac:dyDescent="0.2">
      <c r="A22">
        <v>8401</v>
      </c>
      <c r="B22" t="s">
        <v>11</v>
      </c>
      <c r="C22" t="s">
        <v>12</v>
      </c>
      <c r="D22" t="s">
        <v>12</v>
      </c>
      <c r="E22">
        <v>0</v>
      </c>
      <c r="F22" t="s">
        <v>32</v>
      </c>
      <c r="G22" t="s">
        <v>391</v>
      </c>
      <c r="H22" t="s">
        <v>28</v>
      </c>
      <c r="I22" t="s">
        <v>57</v>
      </c>
      <c r="J22" t="s">
        <v>30</v>
      </c>
      <c r="K22" t="s">
        <v>26</v>
      </c>
      <c r="L22" t="s">
        <v>58</v>
      </c>
    </row>
    <row r="23" spans="1:12" x14ac:dyDescent="0.2">
      <c r="A23">
        <v>3747</v>
      </c>
      <c r="B23" t="s">
        <v>11</v>
      </c>
      <c r="C23" t="s">
        <v>19</v>
      </c>
      <c r="D23" t="s">
        <v>19</v>
      </c>
      <c r="E23">
        <v>0</v>
      </c>
      <c r="F23" t="s">
        <v>381</v>
      </c>
      <c r="G23" t="s">
        <v>402</v>
      </c>
      <c r="H23" t="s">
        <v>21</v>
      </c>
      <c r="I23" t="s">
        <v>59</v>
      </c>
      <c r="J23" t="s">
        <v>51</v>
      </c>
      <c r="K23" t="s">
        <v>17</v>
      </c>
      <c r="L23" t="s">
        <v>53</v>
      </c>
    </row>
    <row r="24" spans="1:12" x14ac:dyDescent="0.2">
      <c r="A24">
        <v>761</v>
      </c>
      <c r="B24" t="s">
        <v>11</v>
      </c>
      <c r="C24" t="s">
        <v>12</v>
      </c>
      <c r="D24" t="s">
        <v>12</v>
      </c>
      <c r="E24">
        <v>0</v>
      </c>
      <c r="F24" t="s">
        <v>32</v>
      </c>
      <c r="G24" t="s">
        <v>402</v>
      </c>
      <c r="H24" t="s">
        <v>56</v>
      </c>
      <c r="I24" t="s">
        <v>60</v>
      </c>
      <c r="J24" t="s">
        <v>42</v>
      </c>
      <c r="K24" t="s">
        <v>33</v>
      </c>
      <c r="L24" t="s">
        <v>33</v>
      </c>
    </row>
    <row r="25" spans="1:12" x14ac:dyDescent="0.2">
      <c r="A25">
        <v>5344</v>
      </c>
      <c r="B25" t="s">
        <v>11</v>
      </c>
      <c r="C25" t="s">
        <v>12</v>
      </c>
      <c r="D25" t="s">
        <v>12</v>
      </c>
      <c r="E25">
        <v>0</v>
      </c>
      <c r="F25" t="s">
        <v>13</v>
      </c>
      <c r="G25" t="s">
        <v>402</v>
      </c>
      <c r="H25" t="s">
        <v>28</v>
      </c>
      <c r="I25" t="s">
        <v>61</v>
      </c>
      <c r="J25" t="s">
        <v>30</v>
      </c>
      <c r="K25" t="s">
        <v>17</v>
      </c>
      <c r="L25" t="s">
        <v>62</v>
      </c>
    </row>
    <row r="26" spans="1:12" x14ac:dyDescent="0.2">
      <c r="A26">
        <v>729</v>
      </c>
      <c r="B26" t="s">
        <v>11</v>
      </c>
      <c r="C26" t="s">
        <v>12</v>
      </c>
      <c r="D26" t="s">
        <v>20</v>
      </c>
      <c r="E26">
        <v>1</v>
      </c>
      <c r="F26" t="s">
        <v>381</v>
      </c>
      <c r="G26" t="s">
        <v>391</v>
      </c>
      <c r="H26" t="s">
        <v>36</v>
      </c>
      <c r="I26" t="s">
        <v>390</v>
      </c>
      <c r="J26" t="s">
        <v>36</v>
      </c>
      <c r="K26" t="s">
        <v>47</v>
      </c>
      <c r="L26" t="s">
        <v>47</v>
      </c>
    </row>
    <row r="27" spans="1:12" x14ac:dyDescent="0.2">
      <c r="A27">
        <v>2782</v>
      </c>
      <c r="B27" t="s">
        <v>11</v>
      </c>
      <c r="C27" t="s">
        <v>12</v>
      </c>
      <c r="D27" t="s">
        <v>12</v>
      </c>
      <c r="E27">
        <v>0</v>
      </c>
      <c r="F27" t="s">
        <v>32</v>
      </c>
      <c r="G27" t="s">
        <v>402</v>
      </c>
      <c r="H27" t="s">
        <v>56</v>
      </c>
      <c r="I27" t="s">
        <v>390</v>
      </c>
      <c r="J27" t="s">
        <v>23</v>
      </c>
      <c r="K27" t="s">
        <v>33</v>
      </c>
      <c r="L27" t="s">
        <v>52</v>
      </c>
    </row>
    <row r="28" spans="1:12" x14ac:dyDescent="0.2">
      <c r="A28">
        <v>951</v>
      </c>
      <c r="B28" t="s">
        <v>11</v>
      </c>
      <c r="C28" t="s">
        <v>12</v>
      </c>
      <c r="D28" t="s">
        <v>12</v>
      </c>
      <c r="E28">
        <v>0</v>
      </c>
      <c r="F28" t="s">
        <v>13</v>
      </c>
      <c r="G28" t="s">
        <v>420</v>
      </c>
      <c r="H28" t="s">
        <v>44</v>
      </c>
      <c r="I28" t="s">
        <v>45</v>
      </c>
      <c r="J28" t="s">
        <v>42</v>
      </c>
      <c r="K28" t="s">
        <v>63</v>
      </c>
      <c r="L28" t="s">
        <v>64</v>
      </c>
    </row>
    <row r="29" spans="1:12" x14ac:dyDescent="0.2">
      <c r="A29">
        <v>9370</v>
      </c>
      <c r="B29" t="s">
        <v>11</v>
      </c>
      <c r="C29" t="s">
        <v>12</v>
      </c>
      <c r="D29" t="s">
        <v>12</v>
      </c>
      <c r="E29">
        <v>0</v>
      </c>
      <c r="F29" t="s">
        <v>13</v>
      </c>
      <c r="G29" t="s">
        <v>420</v>
      </c>
      <c r="H29" t="s">
        <v>28</v>
      </c>
      <c r="I29" t="s">
        <v>390</v>
      </c>
      <c r="J29" t="s">
        <v>25</v>
      </c>
      <c r="K29" t="s">
        <v>55</v>
      </c>
      <c r="L29" t="s">
        <v>55</v>
      </c>
    </row>
    <row r="30" spans="1:12" x14ac:dyDescent="0.2">
      <c r="A30">
        <v>2937</v>
      </c>
      <c r="B30" t="s">
        <v>11</v>
      </c>
      <c r="C30" t="s">
        <v>12</v>
      </c>
      <c r="D30" t="s">
        <v>12</v>
      </c>
      <c r="E30">
        <v>0</v>
      </c>
      <c r="F30" t="s">
        <v>32</v>
      </c>
      <c r="G30" t="s">
        <v>402</v>
      </c>
      <c r="H30" t="s">
        <v>21</v>
      </c>
      <c r="I30" t="s">
        <v>65</v>
      </c>
      <c r="J30" t="s">
        <v>51</v>
      </c>
      <c r="K30" t="s">
        <v>17</v>
      </c>
      <c r="L30" t="s">
        <v>66</v>
      </c>
    </row>
    <row r="31" spans="1:12" x14ac:dyDescent="0.2">
      <c r="A31">
        <v>4745</v>
      </c>
      <c r="B31" t="s">
        <v>11</v>
      </c>
      <c r="C31" t="s">
        <v>12</v>
      </c>
      <c r="D31" t="s">
        <v>12</v>
      </c>
      <c r="E31">
        <v>0</v>
      </c>
      <c r="F31" t="s">
        <v>32</v>
      </c>
      <c r="G31" t="s">
        <v>391</v>
      </c>
      <c r="H31" t="s">
        <v>21</v>
      </c>
      <c r="I31" t="s">
        <v>45</v>
      </c>
      <c r="J31" t="s">
        <v>23</v>
      </c>
      <c r="K31" t="s">
        <v>47</v>
      </c>
      <c r="L31" t="s">
        <v>48</v>
      </c>
    </row>
    <row r="32" spans="1:12" x14ac:dyDescent="0.2">
      <c r="A32">
        <v>241</v>
      </c>
      <c r="B32" t="s">
        <v>11</v>
      </c>
      <c r="C32" t="s">
        <v>19</v>
      </c>
      <c r="D32" t="s">
        <v>19</v>
      </c>
      <c r="E32">
        <v>0</v>
      </c>
      <c r="F32" t="s">
        <v>382</v>
      </c>
      <c r="G32" t="s">
        <v>420</v>
      </c>
      <c r="H32" t="s">
        <v>21</v>
      </c>
      <c r="I32" t="s">
        <v>24</v>
      </c>
      <c r="J32" t="s">
        <v>25</v>
      </c>
      <c r="K32" t="s">
        <v>37</v>
      </c>
      <c r="L32" t="s">
        <v>67</v>
      </c>
    </row>
    <row r="33" spans="1:12" x14ac:dyDescent="0.2">
      <c r="A33">
        <v>5265</v>
      </c>
      <c r="B33" t="s">
        <v>11</v>
      </c>
      <c r="C33" t="s">
        <v>19</v>
      </c>
      <c r="D33" t="s">
        <v>19</v>
      </c>
      <c r="E33">
        <v>0</v>
      </c>
      <c r="F33" t="s">
        <v>382</v>
      </c>
      <c r="G33" t="s">
        <v>391</v>
      </c>
      <c r="H33" t="s">
        <v>21</v>
      </c>
      <c r="I33" t="s">
        <v>29</v>
      </c>
      <c r="J33" t="s">
        <v>30</v>
      </c>
      <c r="K33" t="s">
        <v>37</v>
      </c>
      <c r="L33" t="s">
        <v>31</v>
      </c>
    </row>
    <row r="34" spans="1:12" x14ac:dyDescent="0.2">
      <c r="A34">
        <v>7256</v>
      </c>
      <c r="B34" t="s">
        <v>11</v>
      </c>
      <c r="C34" t="s">
        <v>19</v>
      </c>
      <c r="D34" t="s">
        <v>20</v>
      </c>
      <c r="E34">
        <v>1</v>
      </c>
      <c r="F34" t="s">
        <v>381</v>
      </c>
      <c r="G34" t="s">
        <v>391</v>
      </c>
      <c r="H34" t="s">
        <v>21</v>
      </c>
      <c r="I34" t="s">
        <v>68</v>
      </c>
      <c r="J34" t="s">
        <v>42</v>
      </c>
      <c r="K34" t="s">
        <v>26</v>
      </c>
      <c r="L34" t="s">
        <v>37</v>
      </c>
    </row>
    <row r="35" spans="1:12" x14ac:dyDescent="0.2">
      <c r="A35">
        <v>6563</v>
      </c>
      <c r="B35" t="s">
        <v>11</v>
      </c>
      <c r="C35" t="s">
        <v>12</v>
      </c>
      <c r="D35" t="s">
        <v>12</v>
      </c>
      <c r="E35">
        <v>0</v>
      </c>
      <c r="F35" t="s">
        <v>32</v>
      </c>
      <c r="G35" t="s">
        <v>391</v>
      </c>
      <c r="H35" t="s">
        <v>14</v>
      </c>
      <c r="I35" t="s">
        <v>390</v>
      </c>
      <c r="J35" t="s">
        <v>55</v>
      </c>
      <c r="K35" t="s">
        <v>47</v>
      </c>
      <c r="L35" t="s">
        <v>35</v>
      </c>
    </row>
    <row r="36" spans="1:12" x14ac:dyDescent="0.2">
      <c r="A36">
        <v>779</v>
      </c>
      <c r="B36" t="s">
        <v>11</v>
      </c>
      <c r="C36" t="s">
        <v>12</v>
      </c>
      <c r="D36" t="s">
        <v>12</v>
      </c>
      <c r="E36">
        <v>0</v>
      </c>
      <c r="F36" t="s">
        <v>13</v>
      </c>
      <c r="G36" t="s">
        <v>391</v>
      </c>
      <c r="H36" t="s">
        <v>28</v>
      </c>
      <c r="I36" t="s">
        <v>69</v>
      </c>
      <c r="J36" t="s">
        <v>30</v>
      </c>
      <c r="K36" t="s">
        <v>26</v>
      </c>
      <c r="L36" t="s">
        <v>70</v>
      </c>
    </row>
    <row r="37" spans="1:12" x14ac:dyDescent="0.2">
      <c r="A37">
        <v>10179</v>
      </c>
      <c r="B37" t="s">
        <v>11</v>
      </c>
      <c r="C37" t="s">
        <v>12</v>
      </c>
      <c r="D37" t="s">
        <v>12</v>
      </c>
      <c r="E37">
        <v>0</v>
      </c>
      <c r="F37" t="s">
        <v>13</v>
      </c>
      <c r="G37" t="s">
        <v>391</v>
      </c>
      <c r="H37" t="s">
        <v>28</v>
      </c>
      <c r="I37" t="s">
        <v>390</v>
      </c>
      <c r="J37" t="s">
        <v>36</v>
      </c>
      <c r="K37" t="s">
        <v>26</v>
      </c>
      <c r="L37" t="s">
        <v>67</v>
      </c>
    </row>
    <row r="38" spans="1:12" x14ac:dyDescent="0.2">
      <c r="A38">
        <v>6588</v>
      </c>
      <c r="B38" t="s">
        <v>11</v>
      </c>
      <c r="C38" t="s">
        <v>12</v>
      </c>
      <c r="D38" t="s">
        <v>12</v>
      </c>
      <c r="E38">
        <v>0</v>
      </c>
      <c r="F38" t="s">
        <v>13</v>
      </c>
      <c r="G38" t="s">
        <v>402</v>
      </c>
      <c r="H38" t="s">
        <v>56</v>
      </c>
      <c r="I38" t="s">
        <v>390</v>
      </c>
      <c r="J38" t="s">
        <v>23</v>
      </c>
      <c r="K38" t="s">
        <v>33</v>
      </c>
      <c r="L38" t="s">
        <v>52</v>
      </c>
    </row>
    <row r="39" spans="1:12" x14ac:dyDescent="0.2">
      <c r="A39">
        <v>7805</v>
      </c>
      <c r="B39" t="s">
        <v>11</v>
      </c>
      <c r="C39" t="s">
        <v>12</v>
      </c>
      <c r="D39" t="s">
        <v>12</v>
      </c>
      <c r="E39">
        <v>0</v>
      </c>
      <c r="F39" t="s">
        <v>13</v>
      </c>
      <c r="G39" t="s">
        <v>402</v>
      </c>
      <c r="H39" t="s">
        <v>21</v>
      </c>
      <c r="I39" t="s">
        <v>71</v>
      </c>
      <c r="J39" t="s">
        <v>16</v>
      </c>
      <c r="K39" t="s">
        <v>17</v>
      </c>
      <c r="L39" t="s">
        <v>72</v>
      </c>
    </row>
    <row r="40" spans="1:12" x14ac:dyDescent="0.2">
      <c r="A40">
        <v>2920</v>
      </c>
      <c r="B40" t="s">
        <v>11</v>
      </c>
      <c r="C40" t="s">
        <v>12</v>
      </c>
      <c r="D40" t="s">
        <v>12</v>
      </c>
      <c r="E40">
        <v>0</v>
      </c>
      <c r="F40" t="s">
        <v>32</v>
      </c>
      <c r="G40" t="s">
        <v>420</v>
      </c>
      <c r="H40" t="s">
        <v>56</v>
      </c>
      <c r="I40" t="s">
        <v>73</v>
      </c>
      <c r="J40" t="s">
        <v>25</v>
      </c>
      <c r="K40" t="s">
        <v>17</v>
      </c>
      <c r="L40" t="s">
        <v>66</v>
      </c>
    </row>
    <row r="41" spans="1:12" x14ac:dyDescent="0.2">
      <c r="A41">
        <v>2448</v>
      </c>
      <c r="B41" t="s">
        <v>11</v>
      </c>
      <c r="C41" t="s">
        <v>12</v>
      </c>
      <c r="D41" t="s">
        <v>12</v>
      </c>
      <c r="E41">
        <v>0</v>
      </c>
      <c r="F41" t="s">
        <v>13</v>
      </c>
      <c r="G41" t="s">
        <v>391</v>
      </c>
      <c r="H41" t="s">
        <v>56</v>
      </c>
      <c r="I41" t="s">
        <v>24</v>
      </c>
      <c r="J41" t="s">
        <v>25</v>
      </c>
      <c r="K41" t="s">
        <v>26</v>
      </c>
      <c r="L41" t="s">
        <v>74</v>
      </c>
    </row>
    <row r="42" spans="1:12" x14ac:dyDescent="0.2">
      <c r="A42">
        <v>5371</v>
      </c>
      <c r="B42" t="s">
        <v>11</v>
      </c>
      <c r="C42" t="s">
        <v>12</v>
      </c>
      <c r="D42" t="s">
        <v>12</v>
      </c>
      <c r="E42">
        <v>0</v>
      </c>
      <c r="F42" t="s">
        <v>13</v>
      </c>
      <c r="G42" t="s">
        <v>402</v>
      </c>
      <c r="H42" t="s">
        <v>28</v>
      </c>
      <c r="I42" t="s">
        <v>61</v>
      </c>
      <c r="J42" t="s">
        <v>30</v>
      </c>
      <c r="K42" t="s">
        <v>17</v>
      </c>
      <c r="L42" t="s">
        <v>62</v>
      </c>
    </row>
    <row r="43" spans="1:12" x14ac:dyDescent="0.2">
      <c r="A43">
        <v>2747</v>
      </c>
      <c r="B43" t="s">
        <v>11</v>
      </c>
      <c r="C43" t="s">
        <v>12</v>
      </c>
      <c r="D43" t="s">
        <v>19</v>
      </c>
      <c r="E43">
        <v>1</v>
      </c>
      <c r="F43" t="s">
        <v>382</v>
      </c>
      <c r="G43" t="s">
        <v>428</v>
      </c>
      <c r="H43" t="s">
        <v>21</v>
      </c>
      <c r="I43" t="s">
        <v>45</v>
      </c>
      <c r="J43" t="s">
        <v>23</v>
      </c>
      <c r="K43" t="s">
        <v>17</v>
      </c>
      <c r="L43" t="s">
        <v>75</v>
      </c>
    </row>
    <row r="44" spans="1:12" x14ac:dyDescent="0.2">
      <c r="A44">
        <v>8655</v>
      </c>
      <c r="B44" t="s">
        <v>11</v>
      </c>
      <c r="C44" t="s">
        <v>19</v>
      </c>
      <c r="D44" t="s">
        <v>20</v>
      </c>
      <c r="E44">
        <v>1</v>
      </c>
      <c r="F44" t="s">
        <v>381</v>
      </c>
      <c r="G44" t="s">
        <v>428</v>
      </c>
      <c r="H44" t="s">
        <v>76</v>
      </c>
      <c r="I44" t="s">
        <v>390</v>
      </c>
      <c r="J44" t="s">
        <v>42</v>
      </c>
      <c r="K44" t="s">
        <v>39</v>
      </c>
      <c r="L44" t="s">
        <v>39</v>
      </c>
    </row>
    <row r="45" spans="1:12" x14ac:dyDescent="0.2">
      <c r="A45">
        <v>4607</v>
      </c>
      <c r="B45" t="s">
        <v>11</v>
      </c>
      <c r="C45" t="s">
        <v>19</v>
      </c>
      <c r="D45" t="s">
        <v>19</v>
      </c>
      <c r="E45">
        <v>0</v>
      </c>
      <c r="F45" t="s">
        <v>382</v>
      </c>
      <c r="G45" t="s">
        <v>391</v>
      </c>
      <c r="H45" t="s">
        <v>21</v>
      </c>
      <c r="I45" t="s">
        <v>50</v>
      </c>
      <c r="J45" t="s">
        <v>42</v>
      </c>
      <c r="K45" t="s">
        <v>37</v>
      </c>
      <c r="L45" t="s">
        <v>31</v>
      </c>
    </row>
    <row r="46" spans="1:12" x14ac:dyDescent="0.2">
      <c r="A46">
        <v>1854</v>
      </c>
      <c r="B46" t="s">
        <v>11</v>
      </c>
      <c r="C46" t="s">
        <v>12</v>
      </c>
      <c r="D46" t="s">
        <v>20</v>
      </c>
      <c r="E46">
        <v>1</v>
      </c>
      <c r="F46" t="s">
        <v>381</v>
      </c>
      <c r="G46" t="s">
        <v>391</v>
      </c>
      <c r="H46" t="s">
        <v>36</v>
      </c>
      <c r="I46" t="s">
        <v>15</v>
      </c>
      <c r="J46" t="s">
        <v>16</v>
      </c>
      <c r="K46" t="s">
        <v>17</v>
      </c>
      <c r="L46" t="s">
        <v>390</v>
      </c>
    </row>
    <row r="47" spans="1:12" x14ac:dyDescent="0.2">
      <c r="A47">
        <v>9849</v>
      </c>
      <c r="B47" t="s">
        <v>11</v>
      </c>
      <c r="C47" t="s">
        <v>12</v>
      </c>
      <c r="D47" t="s">
        <v>12</v>
      </c>
      <c r="E47">
        <v>0</v>
      </c>
      <c r="F47" t="s">
        <v>13</v>
      </c>
      <c r="G47" t="s">
        <v>459</v>
      </c>
      <c r="H47" t="s">
        <v>28</v>
      </c>
      <c r="I47" t="s">
        <v>390</v>
      </c>
      <c r="J47" t="s">
        <v>36</v>
      </c>
      <c r="K47" t="s">
        <v>37</v>
      </c>
      <c r="L47" t="s">
        <v>77</v>
      </c>
    </row>
    <row r="48" spans="1:12" x14ac:dyDescent="0.2">
      <c r="A48">
        <v>516</v>
      </c>
      <c r="B48" t="s">
        <v>11</v>
      </c>
      <c r="C48" t="s">
        <v>19</v>
      </c>
      <c r="D48" t="s">
        <v>19</v>
      </c>
      <c r="E48">
        <v>0</v>
      </c>
      <c r="F48" t="s">
        <v>382</v>
      </c>
      <c r="G48" t="s">
        <v>391</v>
      </c>
      <c r="H48" t="s">
        <v>21</v>
      </c>
      <c r="I48" t="s">
        <v>78</v>
      </c>
      <c r="J48" t="s">
        <v>30</v>
      </c>
      <c r="K48" t="s">
        <v>37</v>
      </c>
      <c r="L48" t="s">
        <v>67</v>
      </c>
    </row>
    <row r="49" spans="1:12" x14ac:dyDescent="0.2">
      <c r="A49">
        <v>1289</v>
      </c>
      <c r="B49" t="s">
        <v>11</v>
      </c>
      <c r="C49" t="s">
        <v>19</v>
      </c>
      <c r="D49" t="s">
        <v>20</v>
      </c>
      <c r="E49">
        <v>1</v>
      </c>
      <c r="F49" t="s">
        <v>381</v>
      </c>
      <c r="G49" t="s">
        <v>391</v>
      </c>
      <c r="H49" t="s">
        <v>21</v>
      </c>
      <c r="I49" t="s">
        <v>79</v>
      </c>
      <c r="J49" t="s">
        <v>23</v>
      </c>
      <c r="K49" t="s">
        <v>26</v>
      </c>
      <c r="L49" t="s">
        <v>390</v>
      </c>
    </row>
    <row r="50" spans="1:12" x14ac:dyDescent="0.2">
      <c r="A50">
        <v>8366</v>
      </c>
      <c r="B50" t="s">
        <v>11</v>
      </c>
      <c r="C50" t="s">
        <v>12</v>
      </c>
      <c r="D50" t="s">
        <v>12</v>
      </c>
      <c r="E50">
        <v>0</v>
      </c>
      <c r="F50" t="s">
        <v>13</v>
      </c>
      <c r="G50" t="s">
        <v>402</v>
      </c>
      <c r="H50" t="s">
        <v>56</v>
      </c>
      <c r="I50" t="s">
        <v>390</v>
      </c>
      <c r="J50" t="s">
        <v>36</v>
      </c>
      <c r="K50" t="s">
        <v>17</v>
      </c>
      <c r="L50" t="s">
        <v>52</v>
      </c>
    </row>
    <row r="51" spans="1:12" x14ac:dyDescent="0.2">
      <c r="A51">
        <v>2889</v>
      </c>
      <c r="B51" t="s">
        <v>11</v>
      </c>
      <c r="C51" t="s">
        <v>12</v>
      </c>
      <c r="D51" t="s">
        <v>12</v>
      </c>
      <c r="E51">
        <v>0</v>
      </c>
      <c r="F51" t="s">
        <v>32</v>
      </c>
      <c r="G51" t="s">
        <v>391</v>
      </c>
      <c r="H51" t="s">
        <v>56</v>
      </c>
      <c r="I51" t="s">
        <v>390</v>
      </c>
      <c r="J51" t="s">
        <v>55</v>
      </c>
      <c r="K51" t="s">
        <v>17</v>
      </c>
      <c r="L51" t="s">
        <v>66</v>
      </c>
    </row>
    <row r="52" spans="1:12" x14ac:dyDescent="0.2">
      <c r="A52">
        <v>5185</v>
      </c>
      <c r="B52" t="s">
        <v>11</v>
      </c>
      <c r="C52" t="s">
        <v>12</v>
      </c>
      <c r="D52" t="s">
        <v>12</v>
      </c>
      <c r="E52">
        <v>0</v>
      </c>
      <c r="F52" t="s">
        <v>13</v>
      </c>
      <c r="G52" t="s">
        <v>391</v>
      </c>
      <c r="H52" t="s">
        <v>28</v>
      </c>
      <c r="I52" t="s">
        <v>61</v>
      </c>
      <c r="J52" t="s">
        <v>30</v>
      </c>
      <c r="K52" t="s">
        <v>17</v>
      </c>
      <c r="L52" t="s">
        <v>62</v>
      </c>
    </row>
    <row r="53" spans="1:12" x14ac:dyDescent="0.2">
      <c r="A53">
        <v>259</v>
      </c>
      <c r="B53" t="s">
        <v>11</v>
      </c>
      <c r="C53" t="s">
        <v>12</v>
      </c>
      <c r="D53" t="s">
        <v>12</v>
      </c>
      <c r="E53">
        <v>0</v>
      </c>
      <c r="F53" t="s">
        <v>32</v>
      </c>
      <c r="G53" t="s">
        <v>391</v>
      </c>
      <c r="H53" t="s">
        <v>56</v>
      </c>
      <c r="I53" t="s">
        <v>80</v>
      </c>
      <c r="J53" t="s">
        <v>23</v>
      </c>
      <c r="K53" t="s">
        <v>47</v>
      </c>
      <c r="L53" t="s">
        <v>48</v>
      </c>
    </row>
    <row r="54" spans="1:12" x14ac:dyDescent="0.2">
      <c r="A54">
        <v>474</v>
      </c>
      <c r="B54" t="s">
        <v>11</v>
      </c>
      <c r="C54" t="s">
        <v>19</v>
      </c>
      <c r="D54" t="s">
        <v>19</v>
      </c>
      <c r="E54">
        <v>0</v>
      </c>
      <c r="F54" t="s">
        <v>381</v>
      </c>
      <c r="G54" t="s">
        <v>420</v>
      </c>
      <c r="H54" t="s">
        <v>21</v>
      </c>
      <c r="I54" t="s">
        <v>49</v>
      </c>
      <c r="J54" t="s">
        <v>16</v>
      </c>
      <c r="K54" t="s">
        <v>39</v>
      </c>
      <c r="L54" t="s">
        <v>39</v>
      </c>
    </row>
    <row r="55" spans="1:12" x14ac:dyDescent="0.2">
      <c r="A55">
        <v>138</v>
      </c>
      <c r="B55" t="s">
        <v>11</v>
      </c>
      <c r="C55" t="s">
        <v>12</v>
      </c>
      <c r="D55" t="s">
        <v>12</v>
      </c>
      <c r="E55">
        <v>0</v>
      </c>
      <c r="F55" t="s">
        <v>382</v>
      </c>
      <c r="G55" t="s">
        <v>391</v>
      </c>
      <c r="H55" t="s">
        <v>14</v>
      </c>
      <c r="I55" t="s">
        <v>390</v>
      </c>
      <c r="J55" t="s">
        <v>51</v>
      </c>
      <c r="K55" t="s">
        <v>33</v>
      </c>
      <c r="L55" t="s">
        <v>33</v>
      </c>
    </row>
    <row r="56" spans="1:12" x14ac:dyDescent="0.2">
      <c r="A56">
        <v>4744</v>
      </c>
      <c r="B56" t="s">
        <v>11</v>
      </c>
      <c r="C56" t="s">
        <v>12</v>
      </c>
      <c r="D56" t="s">
        <v>19</v>
      </c>
      <c r="E56">
        <v>1</v>
      </c>
      <c r="F56" t="s">
        <v>32</v>
      </c>
      <c r="G56" t="s">
        <v>391</v>
      </c>
      <c r="H56" t="s">
        <v>21</v>
      </c>
      <c r="I56" t="s">
        <v>45</v>
      </c>
      <c r="J56" t="s">
        <v>23</v>
      </c>
      <c r="K56" t="s">
        <v>47</v>
      </c>
      <c r="L56" t="s">
        <v>48</v>
      </c>
    </row>
    <row r="57" spans="1:12" x14ac:dyDescent="0.2">
      <c r="A57">
        <v>5338</v>
      </c>
      <c r="B57" t="s">
        <v>11</v>
      </c>
      <c r="C57" t="s">
        <v>12</v>
      </c>
      <c r="D57" t="s">
        <v>12</v>
      </c>
      <c r="E57">
        <v>0</v>
      </c>
      <c r="F57" t="s">
        <v>32</v>
      </c>
      <c r="G57" t="s">
        <v>419</v>
      </c>
      <c r="H57" t="s">
        <v>14</v>
      </c>
      <c r="I57" t="s">
        <v>81</v>
      </c>
      <c r="J57" t="s">
        <v>42</v>
      </c>
      <c r="K57" t="s">
        <v>55</v>
      </c>
      <c r="L57" t="s">
        <v>390</v>
      </c>
    </row>
    <row r="58" spans="1:12" x14ac:dyDescent="0.2">
      <c r="A58">
        <v>5518</v>
      </c>
      <c r="B58" t="s">
        <v>11</v>
      </c>
      <c r="C58" t="s">
        <v>12</v>
      </c>
      <c r="D58" t="s">
        <v>12</v>
      </c>
      <c r="E58">
        <v>0</v>
      </c>
      <c r="F58" t="s">
        <v>13</v>
      </c>
      <c r="G58" t="s">
        <v>402</v>
      </c>
      <c r="H58" t="s">
        <v>28</v>
      </c>
      <c r="I58" t="s">
        <v>61</v>
      </c>
      <c r="J58" t="s">
        <v>30</v>
      </c>
      <c r="K58" t="s">
        <v>26</v>
      </c>
      <c r="L58" t="s">
        <v>67</v>
      </c>
    </row>
    <row r="59" spans="1:12" x14ac:dyDescent="0.2">
      <c r="A59">
        <v>3333</v>
      </c>
      <c r="B59" t="s">
        <v>11</v>
      </c>
      <c r="C59" t="s">
        <v>12</v>
      </c>
      <c r="D59" t="s">
        <v>20</v>
      </c>
      <c r="E59">
        <v>1</v>
      </c>
      <c r="F59" t="s">
        <v>381</v>
      </c>
      <c r="G59" t="s">
        <v>420</v>
      </c>
      <c r="H59" t="s">
        <v>36</v>
      </c>
      <c r="I59" t="s">
        <v>82</v>
      </c>
      <c r="J59" t="s">
        <v>51</v>
      </c>
      <c r="K59" t="s">
        <v>17</v>
      </c>
      <c r="L59" t="s">
        <v>390</v>
      </c>
    </row>
    <row r="60" spans="1:12" x14ac:dyDescent="0.2">
      <c r="A60">
        <v>9454</v>
      </c>
      <c r="B60" t="s">
        <v>11</v>
      </c>
      <c r="C60" t="s">
        <v>12</v>
      </c>
      <c r="D60" t="s">
        <v>12</v>
      </c>
      <c r="E60">
        <v>0</v>
      </c>
      <c r="F60" t="s">
        <v>13</v>
      </c>
      <c r="G60" t="s">
        <v>420</v>
      </c>
      <c r="H60" t="s">
        <v>28</v>
      </c>
      <c r="I60" t="s">
        <v>24</v>
      </c>
      <c r="J60" t="s">
        <v>25</v>
      </c>
      <c r="K60" t="s">
        <v>37</v>
      </c>
      <c r="L60" t="s">
        <v>58</v>
      </c>
    </row>
    <row r="61" spans="1:12" x14ac:dyDescent="0.2">
      <c r="A61">
        <v>896</v>
      </c>
      <c r="B61" t="s">
        <v>11</v>
      </c>
      <c r="C61" t="s">
        <v>12</v>
      </c>
      <c r="D61" t="s">
        <v>12</v>
      </c>
      <c r="E61">
        <v>0</v>
      </c>
      <c r="F61" t="s">
        <v>13</v>
      </c>
      <c r="G61" t="s">
        <v>402</v>
      </c>
      <c r="H61" t="s">
        <v>44</v>
      </c>
      <c r="I61" t="s">
        <v>390</v>
      </c>
      <c r="J61" t="s">
        <v>36</v>
      </c>
      <c r="K61" t="s">
        <v>83</v>
      </c>
      <c r="L61" t="s">
        <v>83</v>
      </c>
    </row>
    <row r="62" spans="1:12" x14ac:dyDescent="0.2">
      <c r="A62">
        <v>2192</v>
      </c>
      <c r="B62" t="s">
        <v>11</v>
      </c>
      <c r="C62" t="s">
        <v>12</v>
      </c>
      <c r="D62" t="s">
        <v>12</v>
      </c>
      <c r="E62">
        <v>0</v>
      </c>
      <c r="F62" t="s">
        <v>13</v>
      </c>
      <c r="G62" t="s">
        <v>391</v>
      </c>
      <c r="H62" t="s">
        <v>56</v>
      </c>
      <c r="I62" t="s">
        <v>390</v>
      </c>
      <c r="J62" t="s">
        <v>36</v>
      </c>
      <c r="K62" t="s">
        <v>17</v>
      </c>
      <c r="L62" t="s">
        <v>18</v>
      </c>
    </row>
    <row r="63" spans="1:12" x14ac:dyDescent="0.2">
      <c r="A63">
        <v>9847</v>
      </c>
      <c r="B63" t="s">
        <v>11</v>
      </c>
      <c r="C63" t="s">
        <v>12</v>
      </c>
      <c r="D63" t="s">
        <v>12</v>
      </c>
      <c r="E63">
        <v>0</v>
      </c>
      <c r="F63" t="s">
        <v>13</v>
      </c>
      <c r="G63" t="s">
        <v>420</v>
      </c>
      <c r="H63" t="s">
        <v>28</v>
      </c>
      <c r="I63" t="s">
        <v>24</v>
      </c>
      <c r="J63" t="s">
        <v>25</v>
      </c>
      <c r="K63" t="s">
        <v>26</v>
      </c>
      <c r="L63" t="s">
        <v>67</v>
      </c>
    </row>
    <row r="64" spans="1:12" x14ac:dyDescent="0.2">
      <c r="A64">
        <v>6929</v>
      </c>
      <c r="B64" t="s">
        <v>11</v>
      </c>
      <c r="C64" t="s">
        <v>19</v>
      </c>
      <c r="D64" t="s">
        <v>19</v>
      </c>
      <c r="E64">
        <v>0</v>
      </c>
      <c r="F64" t="s">
        <v>32</v>
      </c>
      <c r="G64" t="s">
        <v>391</v>
      </c>
      <c r="H64" t="s">
        <v>21</v>
      </c>
      <c r="I64" t="s">
        <v>84</v>
      </c>
      <c r="J64" t="s">
        <v>30</v>
      </c>
      <c r="K64" t="s">
        <v>17</v>
      </c>
      <c r="L64" t="s">
        <v>72</v>
      </c>
    </row>
    <row r="65" spans="1:12" x14ac:dyDescent="0.2">
      <c r="A65">
        <v>2012</v>
      </c>
      <c r="B65" t="s">
        <v>11</v>
      </c>
      <c r="C65" t="s">
        <v>19</v>
      </c>
      <c r="D65" t="s">
        <v>12</v>
      </c>
      <c r="E65">
        <v>1</v>
      </c>
      <c r="F65" t="s">
        <v>13</v>
      </c>
      <c r="G65" t="s">
        <v>391</v>
      </c>
      <c r="H65" t="s">
        <v>21</v>
      </c>
      <c r="I65" t="s">
        <v>49</v>
      </c>
      <c r="J65" t="s">
        <v>16</v>
      </c>
      <c r="K65" t="s">
        <v>33</v>
      </c>
      <c r="L65" t="s">
        <v>52</v>
      </c>
    </row>
    <row r="66" spans="1:12" x14ac:dyDescent="0.2">
      <c r="A66">
        <v>1010</v>
      </c>
      <c r="B66" t="s">
        <v>11</v>
      </c>
      <c r="C66" t="s">
        <v>19</v>
      </c>
      <c r="D66" t="s">
        <v>20</v>
      </c>
      <c r="E66">
        <v>1</v>
      </c>
      <c r="F66" t="s">
        <v>381</v>
      </c>
      <c r="G66" t="s">
        <v>391</v>
      </c>
      <c r="H66" t="s">
        <v>21</v>
      </c>
      <c r="I66" t="s">
        <v>390</v>
      </c>
      <c r="J66" t="s">
        <v>55</v>
      </c>
      <c r="K66" t="s">
        <v>17</v>
      </c>
      <c r="L66" t="s">
        <v>390</v>
      </c>
    </row>
    <row r="67" spans="1:12" x14ac:dyDescent="0.2">
      <c r="A67">
        <v>6131</v>
      </c>
      <c r="B67" t="s">
        <v>11</v>
      </c>
      <c r="C67" t="s">
        <v>12</v>
      </c>
      <c r="D67" t="s">
        <v>20</v>
      </c>
      <c r="E67">
        <v>1</v>
      </c>
      <c r="F67" t="s">
        <v>381</v>
      </c>
      <c r="G67" t="s">
        <v>391</v>
      </c>
      <c r="H67" t="s">
        <v>36</v>
      </c>
      <c r="I67" t="s">
        <v>73</v>
      </c>
      <c r="J67" t="s">
        <v>25</v>
      </c>
      <c r="K67" t="s">
        <v>17</v>
      </c>
      <c r="L67" t="s">
        <v>390</v>
      </c>
    </row>
    <row r="68" spans="1:12" x14ac:dyDescent="0.2">
      <c r="A68">
        <v>4698</v>
      </c>
      <c r="B68" t="s">
        <v>11</v>
      </c>
      <c r="C68" t="s">
        <v>19</v>
      </c>
      <c r="D68" t="s">
        <v>20</v>
      </c>
      <c r="E68">
        <v>1</v>
      </c>
      <c r="F68" t="s">
        <v>381</v>
      </c>
      <c r="G68" t="s">
        <v>391</v>
      </c>
      <c r="H68" t="s">
        <v>21</v>
      </c>
      <c r="I68" t="s">
        <v>390</v>
      </c>
      <c r="J68" t="s">
        <v>23</v>
      </c>
      <c r="K68" t="s">
        <v>17</v>
      </c>
      <c r="L68" t="s">
        <v>17</v>
      </c>
    </row>
    <row r="69" spans="1:12" x14ac:dyDescent="0.2">
      <c r="A69">
        <v>3959</v>
      </c>
      <c r="B69" t="s">
        <v>11</v>
      </c>
      <c r="C69" t="s">
        <v>12</v>
      </c>
      <c r="D69" t="s">
        <v>12</v>
      </c>
      <c r="E69">
        <v>0</v>
      </c>
      <c r="F69" t="s">
        <v>13</v>
      </c>
      <c r="G69" t="s">
        <v>391</v>
      </c>
      <c r="H69" t="s">
        <v>21</v>
      </c>
      <c r="I69" t="s">
        <v>390</v>
      </c>
      <c r="J69" t="s">
        <v>16</v>
      </c>
      <c r="K69" t="s">
        <v>17</v>
      </c>
      <c r="L69" t="s">
        <v>18</v>
      </c>
    </row>
    <row r="70" spans="1:12" x14ac:dyDescent="0.2">
      <c r="A70">
        <v>8850</v>
      </c>
      <c r="B70" t="s">
        <v>11</v>
      </c>
      <c r="C70" t="s">
        <v>12</v>
      </c>
      <c r="D70" t="s">
        <v>12</v>
      </c>
      <c r="E70">
        <v>0</v>
      </c>
      <c r="F70" t="s">
        <v>13</v>
      </c>
      <c r="G70" t="s">
        <v>391</v>
      </c>
      <c r="H70" t="s">
        <v>28</v>
      </c>
      <c r="I70" t="s">
        <v>57</v>
      </c>
      <c r="J70" t="s">
        <v>30</v>
      </c>
      <c r="K70" t="s">
        <v>33</v>
      </c>
      <c r="L70" t="s">
        <v>58</v>
      </c>
    </row>
    <row r="71" spans="1:12" x14ac:dyDescent="0.2">
      <c r="A71">
        <v>4479</v>
      </c>
      <c r="B71" t="s">
        <v>11</v>
      </c>
      <c r="C71" t="s">
        <v>12</v>
      </c>
      <c r="D71" t="s">
        <v>12</v>
      </c>
      <c r="E71">
        <v>0</v>
      </c>
      <c r="F71" t="s">
        <v>32</v>
      </c>
      <c r="G71" t="s">
        <v>391</v>
      </c>
      <c r="H71" t="s">
        <v>14</v>
      </c>
      <c r="I71" t="s">
        <v>85</v>
      </c>
      <c r="J71" t="s">
        <v>16</v>
      </c>
      <c r="K71" t="s">
        <v>17</v>
      </c>
      <c r="L71" t="s">
        <v>18</v>
      </c>
    </row>
    <row r="72" spans="1:12" x14ac:dyDescent="0.2">
      <c r="A72">
        <v>416</v>
      </c>
      <c r="B72" t="s">
        <v>11</v>
      </c>
      <c r="C72" t="s">
        <v>19</v>
      </c>
      <c r="D72" t="s">
        <v>19</v>
      </c>
      <c r="E72">
        <v>0</v>
      </c>
      <c r="F72" t="s">
        <v>382</v>
      </c>
      <c r="G72" t="s">
        <v>391</v>
      </c>
      <c r="H72" t="s">
        <v>21</v>
      </c>
      <c r="I72" t="s">
        <v>390</v>
      </c>
      <c r="J72" t="s">
        <v>25</v>
      </c>
      <c r="K72" t="s">
        <v>26</v>
      </c>
      <c r="L72" t="s">
        <v>62</v>
      </c>
    </row>
    <row r="73" spans="1:12" x14ac:dyDescent="0.2">
      <c r="A73">
        <v>9023</v>
      </c>
      <c r="B73" t="s">
        <v>11</v>
      </c>
      <c r="C73" t="s">
        <v>12</v>
      </c>
      <c r="D73" t="s">
        <v>12</v>
      </c>
      <c r="E73">
        <v>0</v>
      </c>
      <c r="F73" t="s">
        <v>13</v>
      </c>
      <c r="G73" t="s">
        <v>404</v>
      </c>
      <c r="H73" t="s">
        <v>56</v>
      </c>
      <c r="I73" t="s">
        <v>57</v>
      </c>
      <c r="J73" t="s">
        <v>30</v>
      </c>
      <c r="K73" t="s">
        <v>33</v>
      </c>
      <c r="L73" t="s">
        <v>34</v>
      </c>
    </row>
    <row r="74" spans="1:12" x14ac:dyDescent="0.2">
      <c r="A74">
        <v>9602</v>
      </c>
      <c r="B74" t="s">
        <v>11</v>
      </c>
      <c r="C74" t="s">
        <v>12</v>
      </c>
      <c r="D74" t="s">
        <v>12</v>
      </c>
      <c r="E74">
        <v>0</v>
      </c>
      <c r="F74" t="s">
        <v>382</v>
      </c>
      <c r="G74" t="s">
        <v>391</v>
      </c>
      <c r="H74" t="s">
        <v>28</v>
      </c>
      <c r="I74" t="s">
        <v>73</v>
      </c>
      <c r="J74" t="s">
        <v>25</v>
      </c>
      <c r="K74" t="s">
        <v>37</v>
      </c>
      <c r="L74" t="s">
        <v>86</v>
      </c>
    </row>
    <row r="75" spans="1:12" x14ac:dyDescent="0.2">
      <c r="A75">
        <v>2534</v>
      </c>
      <c r="B75" t="s">
        <v>11</v>
      </c>
      <c r="C75" t="s">
        <v>19</v>
      </c>
      <c r="D75" t="s">
        <v>20</v>
      </c>
      <c r="E75">
        <v>1</v>
      </c>
      <c r="F75" t="s">
        <v>381</v>
      </c>
      <c r="G75" t="s">
        <v>36</v>
      </c>
      <c r="H75" t="s">
        <v>36</v>
      </c>
      <c r="I75" t="s">
        <v>390</v>
      </c>
      <c r="J75" t="s">
        <v>42</v>
      </c>
      <c r="K75" t="s">
        <v>55</v>
      </c>
      <c r="L75" t="s">
        <v>390</v>
      </c>
    </row>
    <row r="76" spans="1:12" x14ac:dyDescent="0.2">
      <c r="A76">
        <v>3637</v>
      </c>
      <c r="B76" t="s">
        <v>11</v>
      </c>
      <c r="C76" t="s">
        <v>12</v>
      </c>
      <c r="D76" t="s">
        <v>12</v>
      </c>
      <c r="E76">
        <v>0</v>
      </c>
      <c r="F76" t="s">
        <v>13</v>
      </c>
      <c r="G76" t="s">
        <v>420</v>
      </c>
      <c r="H76" t="s">
        <v>44</v>
      </c>
      <c r="I76" t="s">
        <v>61</v>
      </c>
      <c r="J76" t="s">
        <v>30</v>
      </c>
      <c r="K76" t="s">
        <v>83</v>
      </c>
      <c r="L76" t="s">
        <v>87</v>
      </c>
    </row>
    <row r="77" spans="1:12" x14ac:dyDescent="0.2">
      <c r="A77">
        <v>4305</v>
      </c>
      <c r="B77" t="s">
        <v>11</v>
      </c>
      <c r="C77" t="s">
        <v>12</v>
      </c>
      <c r="D77" t="s">
        <v>12</v>
      </c>
      <c r="E77">
        <v>0</v>
      </c>
      <c r="F77" t="s">
        <v>13</v>
      </c>
      <c r="G77" t="s">
        <v>404</v>
      </c>
      <c r="H77" t="s">
        <v>56</v>
      </c>
      <c r="I77" t="s">
        <v>390</v>
      </c>
      <c r="J77" t="s">
        <v>55</v>
      </c>
      <c r="K77" t="s">
        <v>63</v>
      </c>
      <c r="L77" t="s">
        <v>35</v>
      </c>
    </row>
    <row r="78" spans="1:12" x14ac:dyDescent="0.2">
      <c r="A78">
        <v>383</v>
      </c>
      <c r="B78" t="s">
        <v>11</v>
      </c>
      <c r="C78" t="s">
        <v>19</v>
      </c>
      <c r="D78" t="s">
        <v>19</v>
      </c>
      <c r="E78">
        <v>0</v>
      </c>
      <c r="F78" t="s">
        <v>382</v>
      </c>
      <c r="G78" t="s">
        <v>404</v>
      </c>
      <c r="H78" t="s">
        <v>21</v>
      </c>
      <c r="I78" t="s">
        <v>57</v>
      </c>
      <c r="J78" t="s">
        <v>30</v>
      </c>
      <c r="K78" t="s">
        <v>37</v>
      </c>
      <c r="L78" t="s">
        <v>62</v>
      </c>
    </row>
    <row r="79" spans="1:12" x14ac:dyDescent="0.2">
      <c r="A79">
        <v>9695</v>
      </c>
      <c r="B79" t="s">
        <v>11</v>
      </c>
      <c r="C79" t="s">
        <v>12</v>
      </c>
      <c r="D79" t="s">
        <v>12</v>
      </c>
      <c r="E79">
        <v>0</v>
      </c>
      <c r="F79" t="s">
        <v>13</v>
      </c>
      <c r="G79" t="s">
        <v>404</v>
      </c>
      <c r="H79" t="s">
        <v>28</v>
      </c>
      <c r="I79" t="s">
        <v>24</v>
      </c>
      <c r="J79" t="s">
        <v>25</v>
      </c>
      <c r="K79" t="s">
        <v>37</v>
      </c>
      <c r="L79" t="s">
        <v>53</v>
      </c>
    </row>
    <row r="80" spans="1:12" x14ac:dyDescent="0.2">
      <c r="A80">
        <v>4054</v>
      </c>
      <c r="B80" t="s">
        <v>11</v>
      </c>
      <c r="C80" t="s">
        <v>12</v>
      </c>
      <c r="D80" t="s">
        <v>12</v>
      </c>
      <c r="E80">
        <v>0</v>
      </c>
      <c r="F80" t="s">
        <v>13</v>
      </c>
      <c r="G80" t="s">
        <v>391</v>
      </c>
      <c r="H80" t="s">
        <v>28</v>
      </c>
      <c r="I80" t="s">
        <v>29</v>
      </c>
      <c r="J80" t="s">
        <v>30</v>
      </c>
      <c r="K80" t="s">
        <v>17</v>
      </c>
      <c r="L80" t="s">
        <v>88</v>
      </c>
    </row>
    <row r="81" spans="1:12" x14ac:dyDescent="0.2">
      <c r="A81">
        <v>2931</v>
      </c>
      <c r="B81" t="s">
        <v>11</v>
      </c>
      <c r="C81" t="s">
        <v>12</v>
      </c>
      <c r="D81" t="s">
        <v>12</v>
      </c>
      <c r="E81">
        <v>0</v>
      </c>
      <c r="F81" t="s">
        <v>32</v>
      </c>
      <c r="G81" t="s">
        <v>402</v>
      </c>
      <c r="H81" t="s">
        <v>14</v>
      </c>
      <c r="I81" t="s">
        <v>390</v>
      </c>
      <c r="J81" t="s">
        <v>55</v>
      </c>
      <c r="K81" t="s">
        <v>17</v>
      </c>
      <c r="L81" t="s">
        <v>66</v>
      </c>
    </row>
    <row r="82" spans="1:12" x14ac:dyDescent="0.2">
      <c r="A82">
        <v>6297</v>
      </c>
      <c r="B82" t="s">
        <v>11</v>
      </c>
      <c r="C82" t="s">
        <v>19</v>
      </c>
      <c r="D82" t="s">
        <v>19</v>
      </c>
      <c r="E82">
        <v>0</v>
      </c>
      <c r="F82" t="s">
        <v>382</v>
      </c>
      <c r="G82" t="s">
        <v>391</v>
      </c>
      <c r="H82" t="s">
        <v>21</v>
      </c>
      <c r="I82" t="s">
        <v>89</v>
      </c>
      <c r="J82" t="s">
        <v>23</v>
      </c>
      <c r="K82" t="s">
        <v>17</v>
      </c>
      <c r="L82" t="s">
        <v>18</v>
      </c>
    </row>
    <row r="83" spans="1:12" x14ac:dyDescent="0.2">
      <c r="A83">
        <v>3683</v>
      </c>
      <c r="B83" t="s">
        <v>11</v>
      </c>
      <c r="C83" t="s">
        <v>12</v>
      </c>
      <c r="D83" t="s">
        <v>12</v>
      </c>
      <c r="E83">
        <v>0</v>
      </c>
      <c r="F83" t="s">
        <v>13</v>
      </c>
      <c r="G83" t="s">
        <v>404</v>
      </c>
      <c r="H83" t="s">
        <v>28</v>
      </c>
      <c r="I83" t="s">
        <v>45</v>
      </c>
      <c r="J83" t="s">
        <v>42</v>
      </c>
      <c r="K83" t="s">
        <v>17</v>
      </c>
      <c r="L83" t="s">
        <v>90</v>
      </c>
    </row>
    <row r="84" spans="1:12" x14ac:dyDescent="0.2">
      <c r="A84">
        <v>9343</v>
      </c>
      <c r="B84" t="s">
        <v>11</v>
      </c>
      <c r="C84" t="s">
        <v>19</v>
      </c>
      <c r="D84" t="s">
        <v>20</v>
      </c>
      <c r="E84">
        <v>1</v>
      </c>
      <c r="F84" t="s">
        <v>381</v>
      </c>
      <c r="G84" t="s">
        <v>402</v>
      </c>
      <c r="H84" t="s">
        <v>21</v>
      </c>
      <c r="I84" t="s">
        <v>49</v>
      </c>
      <c r="J84" t="s">
        <v>16</v>
      </c>
      <c r="K84" t="s">
        <v>17</v>
      </c>
      <c r="L84" t="s">
        <v>390</v>
      </c>
    </row>
    <row r="85" spans="1:12" x14ac:dyDescent="0.2">
      <c r="A85">
        <v>5733</v>
      </c>
      <c r="B85" t="s">
        <v>11</v>
      </c>
      <c r="C85" t="s">
        <v>12</v>
      </c>
      <c r="D85" t="s">
        <v>12</v>
      </c>
      <c r="E85">
        <v>0</v>
      </c>
      <c r="F85" t="s">
        <v>32</v>
      </c>
      <c r="G85" t="s">
        <v>396</v>
      </c>
      <c r="H85" t="s">
        <v>14</v>
      </c>
      <c r="I85" t="s">
        <v>68</v>
      </c>
      <c r="J85" t="s">
        <v>42</v>
      </c>
      <c r="K85" t="s">
        <v>47</v>
      </c>
      <c r="L85" t="s">
        <v>48</v>
      </c>
    </row>
    <row r="86" spans="1:12" x14ac:dyDescent="0.2">
      <c r="A86">
        <v>6601</v>
      </c>
      <c r="B86" t="s">
        <v>11</v>
      </c>
      <c r="C86" t="s">
        <v>12</v>
      </c>
      <c r="D86" t="s">
        <v>12</v>
      </c>
      <c r="E86">
        <v>0</v>
      </c>
      <c r="F86" t="s">
        <v>32</v>
      </c>
      <c r="G86" t="s">
        <v>391</v>
      </c>
      <c r="H86" t="s">
        <v>14</v>
      </c>
      <c r="I86" t="s">
        <v>390</v>
      </c>
      <c r="J86" t="s">
        <v>30</v>
      </c>
      <c r="K86" t="s">
        <v>47</v>
      </c>
      <c r="L86" t="s">
        <v>91</v>
      </c>
    </row>
    <row r="87" spans="1:12" x14ac:dyDescent="0.2">
      <c r="A87">
        <v>6550</v>
      </c>
      <c r="B87" t="s">
        <v>11</v>
      </c>
      <c r="C87" t="s">
        <v>12</v>
      </c>
      <c r="D87" t="s">
        <v>12</v>
      </c>
      <c r="E87">
        <v>0</v>
      </c>
      <c r="F87" t="s">
        <v>13</v>
      </c>
      <c r="G87" t="s">
        <v>391</v>
      </c>
      <c r="H87" t="s">
        <v>21</v>
      </c>
      <c r="I87" t="s">
        <v>61</v>
      </c>
      <c r="J87" t="s">
        <v>30</v>
      </c>
      <c r="K87" t="s">
        <v>33</v>
      </c>
      <c r="L87" t="s">
        <v>52</v>
      </c>
    </row>
    <row r="88" spans="1:12" x14ac:dyDescent="0.2">
      <c r="A88">
        <v>6619</v>
      </c>
      <c r="B88" t="s">
        <v>11</v>
      </c>
      <c r="C88" t="s">
        <v>12</v>
      </c>
      <c r="D88" t="s">
        <v>12</v>
      </c>
      <c r="E88">
        <v>0</v>
      </c>
      <c r="F88" t="s">
        <v>32</v>
      </c>
      <c r="G88" t="s">
        <v>391</v>
      </c>
      <c r="H88" t="s">
        <v>14</v>
      </c>
      <c r="I88" t="s">
        <v>390</v>
      </c>
      <c r="J88" t="s">
        <v>55</v>
      </c>
      <c r="K88" t="s">
        <v>47</v>
      </c>
      <c r="L88" t="s">
        <v>35</v>
      </c>
    </row>
    <row r="89" spans="1:12" x14ac:dyDescent="0.2">
      <c r="A89">
        <v>4379</v>
      </c>
      <c r="B89" t="s">
        <v>11</v>
      </c>
      <c r="C89" t="s">
        <v>19</v>
      </c>
      <c r="D89" t="s">
        <v>20</v>
      </c>
      <c r="E89">
        <v>1</v>
      </c>
      <c r="F89" t="s">
        <v>381</v>
      </c>
      <c r="G89" t="s">
        <v>402</v>
      </c>
      <c r="H89" t="s">
        <v>36</v>
      </c>
      <c r="I89" t="s">
        <v>390</v>
      </c>
      <c r="J89" t="s">
        <v>23</v>
      </c>
      <c r="K89" t="s">
        <v>17</v>
      </c>
      <c r="L89" t="s">
        <v>390</v>
      </c>
    </row>
    <row r="90" spans="1:12" x14ac:dyDescent="0.2">
      <c r="A90">
        <v>923</v>
      </c>
      <c r="B90" t="s">
        <v>11</v>
      </c>
      <c r="C90" t="s">
        <v>12</v>
      </c>
      <c r="D90" t="s">
        <v>12</v>
      </c>
      <c r="E90">
        <v>0</v>
      </c>
      <c r="F90" t="s">
        <v>13</v>
      </c>
      <c r="G90" t="s">
        <v>402</v>
      </c>
      <c r="H90" t="s">
        <v>14</v>
      </c>
      <c r="I90" t="s">
        <v>61</v>
      </c>
      <c r="J90" t="s">
        <v>30</v>
      </c>
      <c r="K90" t="s">
        <v>17</v>
      </c>
      <c r="L90" t="s">
        <v>66</v>
      </c>
    </row>
    <row r="91" spans="1:12" x14ac:dyDescent="0.2">
      <c r="A91">
        <v>1186</v>
      </c>
      <c r="B91" t="s">
        <v>11</v>
      </c>
      <c r="C91" t="s">
        <v>12</v>
      </c>
      <c r="D91" t="s">
        <v>12</v>
      </c>
      <c r="E91">
        <v>0</v>
      </c>
      <c r="F91" t="s">
        <v>13</v>
      </c>
      <c r="G91" t="s">
        <v>402</v>
      </c>
      <c r="H91" t="s">
        <v>28</v>
      </c>
      <c r="I91" t="s">
        <v>390</v>
      </c>
      <c r="J91" t="s">
        <v>23</v>
      </c>
      <c r="K91" t="s">
        <v>17</v>
      </c>
      <c r="L91" t="s">
        <v>87</v>
      </c>
    </row>
    <row r="92" spans="1:12" x14ac:dyDescent="0.2">
      <c r="A92">
        <v>6552</v>
      </c>
      <c r="B92" t="s">
        <v>11</v>
      </c>
      <c r="C92" t="s">
        <v>19</v>
      </c>
      <c r="D92" t="s">
        <v>12</v>
      </c>
      <c r="E92">
        <v>1</v>
      </c>
      <c r="F92" t="s">
        <v>382</v>
      </c>
      <c r="G92" t="s">
        <v>402</v>
      </c>
      <c r="H92" t="s">
        <v>21</v>
      </c>
      <c r="I92" t="s">
        <v>390</v>
      </c>
      <c r="J92" t="s">
        <v>23</v>
      </c>
      <c r="K92" t="s">
        <v>33</v>
      </c>
      <c r="L92" t="s">
        <v>34</v>
      </c>
    </row>
    <row r="93" spans="1:12" x14ac:dyDescent="0.2">
      <c r="A93">
        <v>2292</v>
      </c>
      <c r="B93" t="s">
        <v>11</v>
      </c>
      <c r="C93" t="s">
        <v>12</v>
      </c>
      <c r="D93" t="s">
        <v>12</v>
      </c>
      <c r="E93">
        <v>0</v>
      </c>
      <c r="F93" t="s">
        <v>382</v>
      </c>
      <c r="G93" t="s">
        <v>391</v>
      </c>
      <c r="H93" t="s">
        <v>14</v>
      </c>
      <c r="I93" t="s">
        <v>390</v>
      </c>
      <c r="J93" t="s">
        <v>30</v>
      </c>
      <c r="K93" t="s">
        <v>17</v>
      </c>
      <c r="L93" t="s">
        <v>66</v>
      </c>
    </row>
    <row r="94" spans="1:12" x14ac:dyDescent="0.2">
      <c r="A94">
        <v>5978</v>
      </c>
      <c r="B94" t="s">
        <v>11</v>
      </c>
      <c r="C94" t="s">
        <v>12</v>
      </c>
      <c r="D94" t="s">
        <v>12</v>
      </c>
      <c r="E94">
        <v>0</v>
      </c>
      <c r="F94" t="s">
        <v>382</v>
      </c>
      <c r="G94" t="s">
        <v>391</v>
      </c>
      <c r="H94" t="s">
        <v>92</v>
      </c>
      <c r="I94" t="s">
        <v>57</v>
      </c>
      <c r="J94" t="s">
        <v>30</v>
      </c>
      <c r="K94" t="s">
        <v>54</v>
      </c>
      <c r="L94" t="s">
        <v>93</v>
      </c>
    </row>
    <row r="95" spans="1:12" x14ac:dyDescent="0.2">
      <c r="A95">
        <v>5891</v>
      </c>
      <c r="B95" t="s">
        <v>11</v>
      </c>
      <c r="C95" t="s">
        <v>19</v>
      </c>
      <c r="D95" t="s">
        <v>20</v>
      </c>
      <c r="E95">
        <v>1</v>
      </c>
      <c r="F95" t="s">
        <v>381</v>
      </c>
      <c r="G95" t="s">
        <v>420</v>
      </c>
      <c r="H95" t="s">
        <v>36</v>
      </c>
      <c r="I95" t="s">
        <v>50</v>
      </c>
      <c r="J95" t="s">
        <v>51</v>
      </c>
      <c r="K95" t="s">
        <v>17</v>
      </c>
      <c r="L95" t="s">
        <v>390</v>
      </c>
    </row>
    <row r="96" spans="1:12" x14ac:dyDescent="0.2">
      <c r="A96">
        <v>7289</v>
      </c>
      <c r="B96" t="s">
        <v>11</v>
      </c>
      <c r="C96" t="s">
        <v>19</v>
      </c>
      <c r="D96" t="s">
        <v>20</v>
      </c>
      <c r="E96">
        <v>1</v>
      </c>
      <c r="F96" t="s">
        <v>381</v>
      </c>
      <c r="G96" t="s">
        <v>391</v>
      </c>
      <c r="H96" t="s">
        <v>21</v>
      </c>
      <c r="I96" t="s">
        <v>68</v>
      </c>
      <c r="J96" t="s">
        <v>42</v>
      </c>
      <c r="K96" t="s">
        <v>17</v>
      </c>
      <c r="L96" t="s">
        <v>390</v>
      </c>
    </row>
    <row r="97" spans="1:12" x14ac:dyDescent="0.2">
      <c r="A97">
        <v>3810</v>
      </c>
      <c r="B97" t="s">
        <v>11</v>
      </c>
      <c r="C97" t="s">
        <v>12</v>
      </c>
      <c r="D97" t="s">
        <v>12</v>
      </c>
      <c r="E97">
        <v>0</v>
      </c>
      <c r="F97" t="s">
        <v>13</v>
      </c>
      <c r="G97" t="s">
        <v>459</v>
      </c>
      <c r="H97" t="s">
        <v>28</v>
      </c>
      <c r="I97" t="s">
        <v>390</v>
      </c>
      <c r="J97" t="s">
        <v>30</v>
      </c>
      <c r="K97" t="s">
        <v>26</v>
      </c>
      <c r="L97" t="s">
        <v>67</v>
      </c>
    </row>
    <row r="98" spans="1:12" x14ac:dyDescent="0.2">
      <c r="A98">
        <v>2814</v>
      </c>
      <c r="B98" t="s">
        <v>11</v>
      </c>
      <c r="C98" t="s">
        <v>12</v>
      </c>
      <c r="D98" t="s">
        <v>20</v>
      </c>
      <c r="E98">
        <v>1</v>
      </c>
      <c r="F98" t="s">
        <v>381</v>
      </c>
      <c r="G98" t="s">
        <v>391</v>
      </c>
      <c r="H98" t="s">
        <v>36</v>
      </c>
      <c r="I98" t="s">
        <v>78</v>
      </c>
      <c r="J98" t="s">
        <v>30</v>
      </c>
      <c r="K98" t="s">
        <v>55</v>
      </c>
      <c r="L98" t="s">
        <v>390</v>
      </c>
    </row>
    <row r="99" spans="1:12" x14ac:dyDescent="0.2">
      <c r="A99">
        <v>8263</v>
      </c>
      <c r="B99" t="s">
        <v>11</v>
      </c>
      <c r="C99" t="s">
        <v>19</v>
      </c>
      <c r="D99" t="s">
        <v>20</v>
      </c>
      <c r="E99">
        <v>1</v>
      </c>
      <c r="F99" t="s">
        <v>381</v>
      </c>
      <c r="G99" t="s">
        <v>391</v>
      </c>
      <c r="H99" t="s">
        <v>21</v>
      </c>
      <c r="I99" t="s">
        <v>94</v>
      </c>
      <c r="J99" t="s">
        <v>30</v>
      </c>
      <c r="K99" t="s">
        <v>26</v>
      </c>
      <c r="L99" t="s">
        <v>37</v>
      </c>
    </row>
    <row r="100" spans="1:12" x14ac:dyDescent="0.2">
      <c r="A100">
        <v>5264</v>
      </c>
      <c r="B100" t="s">
        <v>11</v>
      </c>
      <c r="C100" t="s">
        <v>19</v>
      </c>
      <c r="D100" t="s">
        <v>19</v>
      </c>
      <c r="E100">
        <v>0</v>
      </c>
      <c r="F100" t="s">
        <v>382</v>
      </c>
      <c r="G100" t="s">
        <v>402</v>
      </c>
      <c r="H100" t="s">
        <v>21</v>
      </c>
      <c r="I100" t="s">
        <v>29</v>
      </c>
      <c r="J100" t="s">
        <v>30</v>
      </c>
      <c r="K100" t="s">
        <v>26</v>
      </c>
      <c r="L100" t="s">
        <v>31</v>
      </c>
    </row>
    <row r="101" spans="1:12" x14ac:dyDescent="0.2">
      <c r="A101">
        <v>2480</v>
      </c>
      <c r="B101" t="s">
        <v>11</v>
      </c>
      <c r="C101" t="s">
        <v>12</v>
      </c>
      <c r="D101" t="s">
        <v>12</v>
      </c>
      <c r="E101">
        <v>0</v>
      </c>
      <c r="F101" t="s">
        <v>13</v>
      </c>
      <c r="G101" t="s">
        <v>402</v>
      </c>
      <c r="H101" t="s">
        <v>14</v>
      </c>
      <c r="I101" t="s">
        <v>24</v>
      </c>
      <c r="J101" t="s">
        <v>25</v>
      </c>
      <c r="K101" t="s">
        <v>17</v>
      </c>
      <c r="L101" t="s">
        <v>88</v>
      </c>
    </row>
    <row r="102" spans="1:12" x14ac:dyDescent="0.2">
      <c r="A102">
        <v>1713</v>
      </c>
      <c r="B102" t="s">
        <v>11</v>
      </c>
      <c r="C102" t="s">
        <v>19</v>
      </c>
      <c r="D102" t="s">
        <v>19</v>
      </c>
      <c r="E102">
        <v>0</v>
      </c>
      <c r="F102" t="s">
        <v>382</v>
      </c>
      <c r="G102" t="s">
        <v>420</v>
      </c>
      <c r="H102" t="s">
        <v>21</v>
      </c>
      <c r="I102" t="s">
        <v>61</v>
      </c>
      <c r="J102" t="s">
        <v>30</v>
      </c>
      <c r="K102" t="s">
        <v>17</v>
      </c>
      <c r="L102" t="s">
        <v>18</v>
      </c>
    </row>
    <row r="103" spans="1:12" x14ac:dyDescent="0.2">
      <c r="A103">
        <v>877</v>
      </c>
      <c r="B103" t="s">
        <v>11</v>
      </c>
      <c r="C103" t="s">
        <v>19</v>
      </c>
      <c r="D103" t="s">
        <v>20</v>
      </c>
      <c r="E103">
        <v>1</v>
      </c>
      <c r="F103" t="s">
        <v>381</v>
      </c>
      <c r="G103" t="s">
        <v>402</v>
      </c>
      <c r="H103" t="s">
        <v>36</v>
      </c>
      <c r="I103" t="s">
        <v>65</v>
      </c>
      <c r="J103" t="s">
        <v>51</v>
      </c>
      <c r="K103" t="s">
        <v>17</v>
      </c>
      <c r="L103" t="s">
        <v>390</v>
      </c>
    </row>
    <row r="104" spans="1:12" x14ac:dyDescent="0.2">
      <c r="A104">
        <v>7536</v>
      </c>
      <c r="B104" t="s">
        <v>11</v>
      </c>
      <c r="C104" t="s">
        <v>12</v>
      </c>
      <c r="D104" t="s">
        <v>12</v>
      </c>
      <c r="E104">
        <v>0</v>
      </c>
      <c r="F104" t="s">
        <v>32</v>
      </c>
      <c r="G104" t="s">
        <v>420</v>
      </c>
      <c r="H104" t="s">
        <v>28</v>
      </c>
      <c r="I104" t="s">
        <v>49</v>
      </c>
      <c r="J104" t="s">
        <v>16</v>
      </c>
      <c r="K104" t="s">
        <v>37</v>
      </c>
      <c r="L104" t="s">
        <v>95</v>
      </c>
    </row>
    <row r="105" spans="1:12" x14ac:dyDescent="0.2">
      <c r="A105">
        <v>5661</v>
      </c>
      <c r="B105" t="s">
        <v>11</v>
      </c>
      <c r="C105" t="s">
        <v>12</v>
      </c>
      <c r="D105" t="s">
        <v>12</v>
      </c>
      <c r="E105">
        <v>0</v>
      </c>
      <c r="F105" t="s">
        <v>13</v>
      </c>
      <c r="G105" t="s">
        <v>396</v>
      </c>
      <c r="H105" t="s">
        <v>56</v>
      </c>
      <c r="I105" t="s">
        <v>49</v>
      </c>
      <c r="J105" t="s">
        <v>16</v>
      </c>
      <c r="K105" t="s">
        <v>55</v>
      </c>
      <c r="L105" t="s">
        <v>55</v>
      </c>
    </row>
    <row r="106" spans="1:12" x14ac:dyDescent="0.2">
      <c r="A106">
        <v>9980</v>
      </c>
      <c r="B106" t="s">
        <v>11</v>
      </c>
      <c r="C106" t="s">
        <v>12</v>
      </c>
      <c r="D106" t="s">
        <v>12</v>
      </c>
      <c r="E106">
        <v>0</v>
      </c>
      <c r="F106" t="s">
        <v>13</v>
      </c>
      <c r="G106" t="s">
        <v>391</v>
      </c>
      <c r="H106" t="s">
        <v>44</v>
      </c>
      <c r="I106" t="s">
        <v>24</v>
      </c>
      <c r="J106" t="s">
        <v>25</v>
      </c>
      <c r="K106" t="s">
        <v>37</v>
      </c>
      <c r="L106" t="s">
        <v>37</v>
      </c>
    </row>
    <row r="107" spans="1:12" x14ac:dyDescent="0.2">
      <c r="A107">
        <v>6279</v>
      </c>
      <c r="B107" t="s">
        <v>11</v>
      </c>
      <c r="C107" t="s">
        <v>12</v>
      </c>
      <c r="D107" t="s">
        <v>12</v>
      </c>
      <c r="E107">
        <v>0</v>
      </c>
      <c r="F107" t="s">
        <v>13</v>
      </c>
      <c r="G107" t="s">
        <v>404</v>
      </c>
      <c r="H107" t="s">
        <v>56</v>
      </c>
      <c r="I107" t="s">
        <v>390</v>
      </c>
      <c r="J107" t="s">
        <v>23</v>
      </c>
      <c r="K107" t="s">
        <v>33</v>
      </c>
      <c r="L107" t="s">
        <v>33</v>
      </c>
    </row>
    <row r="108" spans="1:12" x14ac:dyDescent="0.2">
      <c r="A108">
        <v>9861</v>
      </c>
      <c r="B108" t="s">
        <v>11</v>
      </c>
      <c r="C108" t="s">
        <v>19</v>
      </c>
      <c r="D108" t="s">
        <v>20</v>
      </c>
      <c r="E108">
        <v>1</v>
      </c>
      <c r="F108" t="s">
        <v>381</v>
      </c>
      <c r="G108" t="s">
        <v>391</v>
      </c>
      <c r="H108" t="s">
        <v>21</v>
      </c>
      <c r="I108" t="s">
        <v>49</v>
      </c>
      <c r="J108" t="s">
        <v>16</v>
      </c>
      <c r="K108" t="s">
        <v>17</v>
      </c>
      <c r="L108" t="s">
        <v>63</v>
      </c>
    </row>
    <row r="109" spans="1:12" x14ac:dyDescent="0.2">
      <c r="A109">
        <v>9505</v>
      </c>
      <c r="B109" t="s">
        <v>11</v>
      </c>
      <c r="C109" t="s">
        <v>12</v>
      </c>
      <c r="D109" t="s">
        <v>12</v>
      </c>
      <c r="E109">
        <v>0</v>
      </c>
      <c r="F109" t="s">
        <v>13</v>
      </c>
      <c r="G109" t="s">
        <v>391</v>
      </c>
      <c r="H109" t="s">
        <v>28</v>
      </c>
      <c r="I109" t="s">
        <v>24</v>
      </c>
      <c r="J109" t="s">
        <v>25</v>
      </c>
      <c r="K109" t="s">
        <v>37</v>
      </c>
      <c r="L109" t="s">
        <v>96</v>
      </c>
    </row>
    <row r="110" spans="1:12" x14ac:dyDescent="0.2">
      <c r="A110">
        <v>940</v>
      </c>
      <c r="B110" t="s">
        <v>11</v>
      </c>
      <c r="C110" t="s">
        <v>12</v>
      </c>
      <c r="D110" t="s">
        <v>12</v>
      </c>
      <c r="E110">
        <v>0</v>
      </c>
      <c r="F110" t="s">
        <v>13</v>
      </c>
      <c r="G110" t="s">
        <v>391</v>
      </c>
      <c r="H110" t="s">
        <v>14</v>
      </c>
      <c r="I110" t="s">
        <v>61</v>
      </c>
      <c r="J110" t="s">
        <v>30</v>
      </c>
      <c r="K110" t="s">
        <v>17</v>
      </c>
      <c r="L110" t="s">
        <v>97</v>
      </c>
    </row>
    <row r="111" spans="1:12" x14ac:dyDescent="0.2">
      <c r="A111">
        <v>6002</v>
      </c>
      <c r="B111" t="s">
        <v>11</v>
      </c>
      <c r="C111" t="s">
        <v>12</v>
      </c>
      <c r="D111" t="s">
        <v>12</v>
      </c>
      <c r="E111">
        <v>0</v>
      </c>
      <c r="F111" t="s">
        <v>13</v>
      </c>
      <c r="G111" t="s">
        <v>402</v>
      </c>
      <c r="H111" t="s">
        <v>56</v>
      </c>
      <c r="I111" t="s">
        <v>49</v>
      </c>
      <c r="J111" t="s">
        <v>16</v>
      </c>
      <c r="K111" t="s">
        <v>17</v>
      </c>
      <c r="L111" t="s">
        <v>17</v>
      </c>
    </row>
    <row r="112" spans="1:12" x14ac:dyDescent="0.2">
      <c r="A112">
        <v>6121</v>
      </c>
      <c r="B112" t="s">
        <v>11</v>
      </c>
      <c r="C112" t="s">
        <v>12</v>
      </c>
      <c r="D112" t="s">
        <v>20</v>
      </c>
      <c r="E112">
        <v>1</v>
      </c>
      <c r="F112" t="s">
        <v>381</v>
      </c>
      <c r="G112" t="s">
        <v>402</v>
      </c>
      <c r="H112" t="s">
        <v>36</v>
      </c>
      <c r="I112" t="s">
        <v>390</v>
      </c>
      <c r="J112" t="s">
        <v>23</v>
      </c>
      <c r="K112" t="s">
        <v>17</v>
      </c>
      <c r="L112" t="s">
        <v>390</v>
      </c>
    </row>
    <row r="113" spans="1:12" x14ac:dyDescent="0.2">
      <c r="A113">
        <v>3193</v>
      </c>
      <c r="B113" t="s">
        <v>11</v>
      </c>
      <c r="C113" t="s">
        <v>19</v>
      </c>
      <c r="D113" t="s">
        <v>19</v>
      </c>
      <c r="E113">
        <v>0</v>
      </c>
      <c r="F113" t="s">
        <v>382</v>
      </c>
      <c r="G113" t="s">
        <v>402</v>
      </c>
      <c r="H113" t="s">
        <v>21</v>
      </c>
      <c r="I113" t="s">
        <v>24</v>
      </c>
      <c r="J113" t="s">
        <v>25</v>
      </c>
      <c r="K113" t="s">
        <v>17</v>
      </c>
      <c r="L113" t="s">
        <v>31</v>
      </c>
    </row>
    <row r="114" spans="1:12" x14ac:dyDescent="0.2">
      <c r="A114">
        <v>5796</v>
      </c>
      <c r="B114" t="s">
        <v>11</v>
      </c>
      <c r="C114" t="s">
        <v>12</v>
      </c>
      <c r="D114" t="s">
        <v>12</v>
      </c>
      <c r="E114">
        <v>0</v>
      </c>
      <c r="F114" t="s">
        <v>13</v>
      </c>
      <c r="G114" t="s">
        <v>402</v>
      </c>
      <c r="H114" t="s">
        <v>28</v>
      </c>
      <c r="I114" t="s">
        <v>61</v>
      </c>
      <c r="J114" t="s">
        <v>30</v>
      </c>
      <c r="K114" t="s">
        <v>55</v>
      </c>
      <c r="L114" t="s">
        <v>98</v>
      </c>
    </row>
    <row r="115" spans="1:12" x14ac:dyDescent="0.2">
      <c r="A115">
        <v>9845</v>
      </c>
      <c r="B115" t="s">
        <v>11</v>
      </c>
      <c r="C115" t="s">
        <v>12</v>
      </c>
      <c r="D115" t="s">
        <v>12</v>
      </c>
      <c r="E115">
        <v>0</v>
      </c>
      <c r="F115" t="s">
        <v>382</v>
      </c>
      <c r="G115" t="s">
        <v>396</v>
      </c>
      <c r="H115" t="s">
        <v>28</v>
      </c>
      <c r="I115" t="s">
        <v>24</v>
      </c>
      <c r="J115" t="s">
        <v>25</v>
      </c>
      <c r="K115" t="s">
        <v>26</v>
      </c>
      <c r="L115" t="s">
        <v>99</v>
      </c>
    </row>
    <row r="116" spans="1:12" x14ac:dyDescent="0.2">
      <c r="A116">
        <v>2911</v>
      </c>
      <c r="B116" t="s">
        <v>11</v>
      </c>
      <c r="C116" t="s">
        <v>12</v>
      </c>
      <c r="D116" t="s">
        <v>12</v>
      </c>
      <c r="E116">
        <v>0</v>
      </c>
      <c r="F116" t="s">
        <v>382</v>
      </c>
      <c r="G116" t="s">
        <v>396</v>
      </c>
      <c r="H116" t="s">
        <v>14</v>
      </c>
      <c r="I116" t="s">
        <v>390</v>
      </c>
      <c r="J116" t="s">
        <v>55</v>
      </c>
      <c r="K116" t="s">
        <v>17</v>
      </c>
      <c r="L116" t="s">
        <v>66</v>
      </c>
    </row>
    <row r="117" spans="1:12" x14ac:dyDescent="0.2">
      <c r="A117">
        <v>10238</v>
      </c>
      <c r="B117" t="s">
        <v>11</v>
      </c>
      <c r="C117" t="s">
        <v>12</v>
      </c>
      <c r="D117" t="s">
        <v>12</v>
      </c>
      <c r="E117">
        <v>0</v>
      </c>
      <c r="F117" t="s">
        <v>32</v>
      </c>
      <c r="G117" t="s">
        <v>396</v>
      </c>
      <c r="H117" t="s">
        <v>14</v>
      </c>
      <c r="I117" t="s">
        <v>45</v>
      </c>
      <c r="J117" t="s">
        <v>23</v>
      </c>
      <c r="K117" t="s">
        <v>33</v>
      </c>
      <c r="L117" t="s">
        <v>33</v>
      </c>
    </row>
    <row r="118" spans="1:12" x14ac:dyDescent="0.2">
      <c r="A118">
        <v>7345</v>
      </c>
      <c r="B118" t="s">
        <v>11</v>
      </c>
      <c r="C118" t="s">
        <v>12</v>
      </c>
      <c r="D118" t="s">
        <v>12</v>
      </c>
      <c r="E118">
        <v>0</v>
      </c>
      <c r="F118" t="s">
        <v>13</v>
      </c>
      <c r="G118" t="s">
        <v>391</v>
      </c>
      <c r="H118" t="s">
        <v>14</v>
      </c>
      <c r="I118" t="s">
        <v>390</v>
      </c>
      <c r="J118" t="s">
        <v>30</v>
      </c>
      <c r="K118" t="s">
        <v>17</v>
      </c>
      <c r="L118" t="s">
        <v>17</v>
      </c>
    </row>
    <row r="119" spans="1:12" x14ac:dyDescent="0.2">
      <c r="A119">
        <v>1947</v>
      </c>
      <c r="B119" t="s">
        <v>11</v>
      </c>
      <c r="C119" t="s">
        <v>19</v>
      </c>
      <c r="D119" t="s">
        <v>19</v>
      </c>
      <c r="E119">
        <v>0</v>
      </c>
      <c r="F119" t="s">
        <v>382</v>
      </c>
      <c r="G119" t="s">
        <v>420</v>
      </c>
      <c r="H119" t="s">
        <v>21</v>
      </c>
      <c r="I119" t="s">
        <v>57</v>
      </c>
      <c r="J119" t="s">
        <v>30</v>
      </c>
      <c r="K119" t="s">
        <v>37</v>
      </c>
      <c r="L119" t="s">
        <v>31</v>
      </c>
    </row>
    <row r="120" spans="1:12" x14ac:dyDescent="0.2">
      <c r="A120">
        <v>8600</v>
      </c>
      <c r="B120" t="s">
        <v>11</v>
      </c>
      <c r="C120" t="s">
        <v>12</v>
      </c>
      <c r="D120" t="s">
        <v>12</v>
      </c>
      <c r="E120">
        <v>0</v>
      </c>
      <c r="F120" t="s">
        <v>382</v>
      </c>
      <c r="G120" t="s">
        <v>402</v>
      </c>
      <c r="H120" t="s">
        <v>56</v>
      </c>
      <c r="I120" t="s">
        <v>85</v>
      </c>
      <c r="J120" t="s">
        <v>23</v>
      </c>
      <c r="K120" t="s">
        <v>17</v>
      </c>
      <c r="L120" t="s">
        <v>17</v>
      </c>
    </row>
    <row r="121" spans="1:12" x14ac:dyDescent="0.2">
      <c r="A121">
        <v>1751</v>
      </c>
      <c r="B121" t="s">
        <v>11</v>
      </c>
      <c r="C121" t="s">
        <v>19</v>
      </c>
      <c r="D121" t="s">
        <v>12</v>
      </c>
      <c r="E121">
        <v>1</v>
      </c>
      <c r="F121" t="s">
        <v>13</v>
      </c>
      <c r="G121" t="s">
        <v>402</v>
      </c>
      <c r="H121" t="s">
        <v>21</v>
      </c>
      <c r="I121" t="s">
        <v>100</v>
      </c>
      <c r="J121" t="s">
        <v>23</v>
      </c>
      <c r="K121" t="s">
        <v>33</v>
      </c>
      <c r="L121" t="s">
        <v>52</v>
      </c>
    </row>
    <row r="122" spans="1:12" x14ac:dyDescent="0.2">
      <c r="A122">
        <v>5771</v>
      </c>
      <c r="B122" t="s">
        <v>11</v>
      </c>
      <c r="C122" t="s">
        <v>19</v>
      </c>
      <c r="D122" t="s">
        <v>19</v>
      </c>
      <c r="E122">
        <v>0</v>
      </c>
      <c r="F122" t="s">
        <v>382</v>
      </c>
      <c r="G122" t="s">
        <v>402</v>
      </c>
      <c r="H122" t="s">
        <v>21</v>
      </c>
      <c r="I122" t="s">
        <v>89</v>
      </c>
      <c r="J122" t="s">
        <v>23</v>
      </c>
      <c r="K122" t="s">
        <v>17</v>
      </c>
      <c r="L122" t="s">
        <v>101</v>
      </c>
    </row>
    <row r="123" spans="1:12" x14ac:dyDescent="0.2">
      <c r="A123">
        <v>6408</v>
      </c>
      <c r="B123" t="s">
        <v>11</v>
      </c>
      <c r="C123" t="s">
        <v>12</v>
      </c>
      <c r="D123" t="s">
        <v>12</v>
      </c>
      <c r="E123">
        <v>0</v>
      </c>
      <c r="F123" t="s">
        <v>382</v>
      </c>
      <c r="G123" t="s">
        <v>391</v>
      </c>
      <c r="H123" t="s">
        <v>44</v>
      </c>
      <c r="I123" t="s">
        <v>45</v>
      </c>
      <c r="J123" t="s">
        <v>23</v>
      </c>
      <c r="K123" t="s">
        <v>83</v>
      </c>
      <c r="L123" t="s">
        <v>102</v>
      </c>
    </row>
    <row r="124" spans="1:12" x14ac:dyDescent="0.2">
      <c r="A124">
        <v>5300</v>
      </c>
      <c r="B124" t="s">
        <v>11</v>
      </c>
      <c r="C124" t="s">
        <v>12</v>
      </c>
      <c r="D124" t="s">
        <v>12</v>
      </c>
      <c r="E124">
        <v>0</v>
      </c>
      <c r="F124" t="s">
        <v>13</v>
      </c>
      <c r="G124" t="s">
        <v>391</v>
      </c>
      <c r="H124" t="s">
        <v>44</v>
      </c>
      <c r="I124" t="s">
        <v>61</v>
      </c>
      <c r="J124" t="s">
        <v>30</v>
      </c>
      <c r="K124" t="s">
        <v>26</v>
      </c>
      <c r="L124" t="s">
        <v>103</v>
      </c>
    </row>
    <row r="125" spans="1:12" x14ac:dyDescent="0.2">
      <c r="A125">
        <v>8232</v>
      </c>
      <c r="B125" t="s">
        <v>11</v>
      </c>
      <c r="C125" t="s">
        <v>12</v>
      </c>
      <c r="D125" t="s">
        <v>12</v>
      </c>
      <c r="E125">
        <v>0</v>
      </c>
      <c r="F125" t="s">
        <v>13</v>
      </c>
      <c r="G125" t="s">
        <v>402</v>
      </c>
      <c r="H125" t="s">
        <v>44</v>
      </c>
      <c r="I125" t="s">
        <v>104</v>
      </c>
      <c r="J125" t="s">
        <v>51</v>
      </c>
      <c r="K125" t="s">
        <v>83</v>
      </c>
      <c r="L125" t="s">
        <v>105</v>
      </c>
    </row>
    <row r="126" spans="1:12" x14ac:dyDescent="0.2">
      <c r="A126">
        <v>5034</v>
      </c>
      <c r="B126" t="s">
        <v>11</v>
      </c>
      <c r="C126" t="s">
        <v>19</v>
      </c>
      <c r="D126" t="s">
        <v>19</v>
      </c>
      <c r="E126">
        <v>0</v>
      </c>
      <c r="F126" t="s">
        <v>382</v>
      </c>
      <c r="G126" t="s">
        <v>402</v>
      </c>
      <c r="H126" t="s">
        <v>21</v>
      </c>
      <c r="I126" t="s">
        <v>390</v>
      </c>
      <c r="J126" t="s">
        <v>25</v>
      </c>
      <c r="K126" t="s">
        <v>17</v>
      </c>
      <c r="L126" t="s">
        <v>96</v>
      </c>
    </row>
    <row r="127" spans="1:12" x14ac:dyDescent="0.2">
      <c r="A127">
        <v>1983</v>
      </c>
      <c r="B127" t="s">
        <v>11</v>
      </c>
      <c r="C127" t="s">
        <v>19</v>
      </c>
      <c r="D127" t="s">
        <v>12</v>
      </c>
      <c r="E127">
        <v>1</v>
      </c>
      <c r="F127" t="s">
        <v>13</v>
      </c>
      <c r="G127" t="s">
        <v>402</v>
      </c>
      <c r="H127" t="s">
        <v>56</v>
      </c>
      <c r="I127" t="s">
        <v>106</v>
      </c>
      <c r="J127" t="s">
        <v>23</v>
      </c>
      <c r="K127" t="s">
        <v>55</v>
      </c>
      <c r="L127" t="s">
        <v>55</v>
      </c>
    </row>
    <row r="128" spans="1:12" x14ac:dyDescent="0.2">
      <c r="A128">
        <v>10181</v>
      </c>
      <c r="B128" t="s">
        <v>11</v>
      </c>
      <c r="C128" t="s">
        <v>12</v>
      </c>
      <c r="D128" t="s">
        <v>12</v>
      </c>
      <c r="E128">
        <v>0</v>
      </c>
      <c r="F128" t="s">
        <v>13</v>
      </c>
      <c r="G128" t="s">
        <v>402</v>
      </c>
      <c r="H128" t="s">
        <v>28</v>
      </c>
      <c r="I128" t="s">
        <v>24</v>
      </c>
      <c r="J128" t="s">
        <v>25</v>
      </c>
      <c r="K128" t="s">
        <v>37</v>
      </c>
      <c r="L128" t="s">
        <v>107</v>
      </c>
    </row>
    <row r="129" spans="1:12" x14ac:dyDescent="0.2">
      <c r="A129">
        <v>5331</v>
      </c>
      <c r="B129" t="s">
        <v>11</v>
      </c>
      <c r="C129" t="s">
        <v>12</v>
      </c>
      <c r="D129" t="s">
        <v>20</v>
      </c>
      <c r="E129">
        <v>1</v>
      </c>
      <c r="F129" t="s">
        <v>381</v>
      </c>
      <c r="G129" t="s">
        <v>402</v>
      </c>
      <c r="H129" t="s">
        <v>28</v>
      </c>
      <c r="I129" t="s">
        <v>61</v>
      </c>
      <c r="J129" t="s">
        <v>30</v>
      </c>
      <c r="K129" t="s">
        <v>17</v>
      </c>
      <c r="L129" t="s">
        <v>17</v>
      </c>
    </row>
    <row r="130" spans="1:12" x14ac:dyDescent="0.2">
      <c r="A130">
        <v>2941</v>
      </c>
      <c r="B130" t="s">
        <v>11</v>
      </c>
      <c r="C130" t="s">
        <v>12</v>
      </c>
      <c r="D130" t="s">
        <v>12</v>
      </c>
      <c r="E130">
        <v>0</v>
      </c>
      <c r="F130" t="s">
        <v>382</v>
      </c>
      <c r="G130" t="s">
        <v>420</v>
      </c>
      <c r="H130" t="s">
        <v>14</v>
      </c>
      <c r="I130" t="s">
        <v>390</v>
      </c>
      <c r="J130" t="s">
        <v>55</v>
      </c>
      <c r="K130" t="s">
        <v>17</v>
      </c>
      <c r="L130" t="s">
        <v>18</v>
      </c>
    </row>
    <row r="131" spans="1:12" x14ac:dyDescent="0.2">
      <c r="A131">
        <v>2219</v>
      </c>
      <c r="B131" t="s">
        <v>11</v>
      </c>
      <c r="C131" t="s">
        <v>19</v>
      </c>
      <c r="D131" t="s">
        <v>19</v>
      </c>
      <c r="E131">
        <v>0</v>
      </c>
      <c r="F131" t="s">
        <v>13</v>
      </c>
      <c r="G131" t="s">
        <v>420</v>
      </c>
      <c r="H131" t="s">
        <v>21</v>
      </c>
      <c r="I131" t="s">
        <v>49</v>
      </c>
      <c r="J131" t="s">
        <v>16</v>
      </c>
      <c r="K131" t="s">
        <v>26</v>
      </c>
      <c r="L131" t="s">
        <v>62</v>
      </c>
    </row>
    <row r="132" spans="1:12" x14ac:dyDescent="0.2">
      <c r="A132">
        <v>4277</v>
      </c>
      <c r="B132" t="s">
        <v>11</v>
      </c>
      <c r="C132" t="s">
        <v>12</v>
      </c>
      <c r="D132" t="s">
        <v>12</v>
      </c>
      <c r="E132">
        <v>0</v>
      </c>
      <c r="F132" t="s">
        <v>32</v>
      </c>
      <c r="G132" t="s">
        <v>402</v>
      </c>
      <c r="H132" t="s">
        <v>56</v>
      </c>
      <c r="I132" t="s">
        <v>45</v>
      </c>
      <c r="J132" t="s">
        <v>42</v>
      </c>
      <c r="K132" t="s">
        <v>47</v>
      </c>
      <c r="L132" t="s">
        <v>48</v>
      </c>
    </row>
    <row r="133" spans="1:12" x14ac:dyDescent="0.2">
      <c r="A133">
        <v>8589</v>
      </c>
      <c r="B133" t="s">
        <v>11</v>
      </c>
      <c r="C133" t="s">
        <v>19</v>
      </c>
      <c r="D133" t="s">
        <v>20</v>
      </c>
      <c r="E133">
        <v>1</v>
      </c>
      <c r="F133" t="s">
        <v>381</v>
      </c>
      <c r="G133" t="s">
        <v>402</v>
      </c>
      <c r="H133" t="s">
        <v>21</v>
      </c>
      <c r="I133" t="s">
        <v>49</v>
      </c>
      <c r="J133" t="s">
        <v>16</v>
      </c>
      <c r="K133" t="s">
        <v>17</v>
      </c>
      <c r="L133" t="s">
        <v>390</v>
      </c>
    </row>
    <row r="134" spans="1:12" x14ac:dyDescent="0.2">
      <c r="A134">
        <v>2326</v>
      </c>
      <c r="B134" t="s">
        <v>11</v>
      </c>
      <c r="C134" t="s">
        <v>12</v>
      </c>
      <c r="D134" t="s">
        <v>12</v>
      </c>
      <c r="E134">
        <v>0</v>
      </c>
      <c r="F134" t="s">
        <v>13</v>
      </c>
      <c r="G134" t="s">
        <v>402</v>
      </c>
      <c r="H134" t="s">
        <v>14</v>
      </c>
      <c r="I134" t="s">
        <v>24</v>
      </c>
      <c r="J134" t="s">
        <v>25</v>
      </c>
      <c r="K134" t="s">
        <v>37</v>
      </c>
      <c r="L134" t="s">
        <v>96</v>
      </c>
    </row>
    <row r="135" spans="1:12" x14ac:dyDescent="0.2">
      <c r="A135">
        <v>3279</v>
      </c>
      <c r="B135" t="s">
        <v>11</v>
      </c>
      <c r="C135" t="s">
        <v>12</v>
      </c>
      <c r="D135" t="s">
        <v>12</v>
      </c>
      <c r="E135">
        <v>0</v>
      </c>
      <c r="F135" t="s">
        <v>32</v>
      </c>
      <c r="G135" t="s">
        <v>420</v>
      </c>
      <c r="H135" t="s">
        <v>28</v>
      </c>
      <c r="I135" t="s">
        <v>50</v>
      </c>
      <c r="J135" t="s">
        <v>51</v>
      </c>
      <c r="K135" t="s">
        <v>33</v>
      </c>
      <c r="L135" t="s">
        <v>33</v>
      </c>
    </row>
    <row r="136" spans="1:12" x14ac:dyDescent="0.2">
      <c r="A136">
        <v>4838</v>
      </c>
      <c r="B136" t="s">
        <v>11</v>
      </c>
      <c r="C136" t="s">
        <v>19</v>
      </c>
      <c r="D136" t="s">
        <v>19</v>
      </c>
      <c r="E136">
        <v>0</v>
      </c>
      <c r="F136" t="s">
        <v>13</v>
      </c>
      <c r="G136" t="s">
        <v>402</v>
      </c>
      <c r="H136" t="s">
        <v>21</v>
      </c>
      <c r="I136" t="s">
        <v>390</v>
      </c>
      <c r="J136" t="s">
        <v>30</v>
      </c>
      <c r="K136" t="s">
        <v>33</v>
      </c>
      <c r="L136" t="s">
        <v>18</v>
      </c>
    </row>
    <row r="137" spans="1:12" x14ac:dyDescent="0.2">
      <c r="A137">
        <v>6629</v>
      </c>
      <c r="B137" t="s">
        <v>11</v>
      </c>
      <c r="C137" t="s">
        <v>12</v>
      </c>
      <c r="D137" t="s">
        <v>12</v>
      </c>
      <c r="E137">
        <v>0</v>
      </c>
      <c r="F137" t="s">
        <v>32</v>
      </c>
      <c r="G137" t="s">
        <v>420</v>
      </c>
      <c r="H137" t="s">
        <v>14</v>
      </c>
      <c r="I137" t="s">
        <v>390</v>
      </c>
      <c r="J137" t="s">
        <v>30</v>
      </c>
      <c r="K137" t="s">
        <v>47</v>
      </c>
      <c r="L137" t="s">
        <v>48</v>
      </c>
    </row>
    <row r="138" spans="1:12" x14ac:dyDescent="0.2">
      <c r="A138">
        <v>5148</v>
      </c>
      <c r="B138" t="s">
        <v>11</v>
      </c>
      <c r="C138" t="s">
        <v>19</v>
      </c>
      <c r="D138" t="s">
        <v>12</v>
      </c>
      <c r="E138">
        <v>1</v>
      </c>
      <c r="F138" t="s">
        <v>13</v>
      </c>
      <c r="G138" t="s">
        <v>420</v>
      </c>
      <c r="H138" t="s">
        <v>21</v>
      </c>
      <c r="I138" t="s">
        <v>49</v>
      </c>
      <c r="J138" t="s">
        <v>16</v>
      </c>
      <c r="K138" t="s">
        <v>33</v>
      </c>
      <c r="L138" t="s">
        <v>33</v>
      </c>
    </row>
    <row r="139" spans="1:12" x14ac:dyDescent="0.2">
      <c r="A139">
        <v>8410</v>
      </c>
      <c r="B139" t="s">
        <v>11</v>
      </c>
      <c r="C139" t="s">
        <v>12</v>
      </c>
      <c r="D139" t="s">
        <v>12</v>
      </c>
      <c r="E139">
        <v>0</v>
      </c>
      <c r="F139" t="s">
        <v>13</v>
      </c>
      <c r="G139" t="s">
        <v>402</v>
      </c>
      <c r="H139" t="s">
        <v>14</v>
      </c>
      <c r="I139" t="s">
        <v>57</v>
      </c>
      <c r="J139" t="s">
        <v>30</v>
      </c>
      <c r="K139" t="s">
        <v>33</v>
      </c>
      <c r="L139" t="s">
        <v>108</v>
      </c>
    </row>
    <row r="140" spans="1:12" x14ac:dyDescent="0.2">
      <c r="A140">
        <v>3346</v>
      </c>
      <c r="B140" t="s">
        <v>11</v>
      </c>
      <c r="C140" t="s">
        <v>19</v>
      </c>
      <c r="D140" t="s">
        <v>19</v>
      </c>
      <c r="E140">
        <v>0</v>
      </c>
      <c r="F140" t="s">
        <v>382</v>
      </c>
      <c r="G140" t="s">
        <v>420</v>
      </c>
      <c r="H140" t="s">
        <v>21</v>
      </c>
      <c r="I140" t="s">
        <v>61</v>
      </c>
      <c r="J140" t="s">
        <v>30</v>
      </c>
      <c r="K140" t="s">
        <v>17</v>
      </c>
      <c r="L140" t="s">
        <v>31</v>
      </c>
    </row>
    <row r="141" spans="1:12" x14ac:dyDescent="0.2">
      <c r="A141">
        <v>2241</v>
      </c>
      <c r="B141" t="s">
        <v>11</v>
      </c>
      <c r="C141" t="s">
        <v>12</v>
      </c>
      <c r="D141" t="s">
        <v>12</v>
      </c>
      <c r="E141">
        <v>0</v>
      </c>
      <c r="F141" t="s">
        <v>13</v>
      </c>
      <c r="G141" t="s">
        <v>402</v>
      </c>
      <c r="H141" t="s">
        <v>28</v>
      </c>
      <c r="I141" t="s">
        <v>78</v>
      </c>
      <c r="J141" t="s">
        <v>30</v>
      </c>
      <c r="K141" t="s">
        <v>26</v>
      </c>
      <c r="L141" t="s">
        <v>109</v>
      </c>
    </row>
    <row r="142" spans="1:12" x14ac:dyDescent="0.2">
      <c r="A142">
        <v>4280</v>
      </c>
      <c r="B142" t="s">
        <v>11</v>
      </c>
      <c r="C142" t="s">
        <v>12</v>
      </c>
      <c r="D142" t="s">
        <v>12</v>
      </c>
      <c r="E142">
        <v>0</v>
      </c>
      <c r="F142" t="s">
        <v>32</v>
      </c>
      <c r="G142" t="s">
        <v>391</v>
      </c>
      <c r="H142" t="s">
        <v>56</v>
      </c>
      <c r="I142" t="s">
        <v>45</v>
      </c>
      <c r="J142" t="s">
        <v>42</v>
      </c>
      <c r="K142" t="s">
        <v>47</v>
      </c>
      <c r="L142" t="s">
        <v>48</v>
      </c>
    </row>
    <row r="143" spans="1:12" x14ac:dyDescent="0.2">
      <c r="A143">
        <v>4533</v>
      </c>
      <c r="B143" t="s">
        <v>11</v>
      </c>
      <c r="C143" t="s">
        <v>12</v>
      </c>
      <c r="D143" t="s">
        <v>12</v>
      </c>
      <c r="E143">
        <v>0</v>
      </c>
      <c r="F143" t="s">
        <v>32</v>
      </c>
      <c r="G143" t="s">
        <v>391</v>
      </c>
      <c r="H143" t="s">
        <v>28</v>
      </c>
      <c r="I143" t="s">
        <v>29</v>
      </c>
      <c r="J143" t="s">
        <v>30</v>
      </c>
      <c r="K143" t="s">
        <v>37</v>
      </c>
      <c r="L143" t="s">
        <v>110</v>
      </c>
    </row>
    <row r="144" spans="1:12" x14ac:dyDescent="0.2">
      <c r="A144">
        <v>10174</v>
      </c>
      <c r="B144" t="s">
        <v>11</v>
      </c>
      <c r="C144" t="s">
        <v>12</v>
      </c>
      <c r="D144" t="s">
        <v>12</v>
      </c>
      <c r="E144">
        <v>0</v>
      </c>
      <c r="F144" t="s">
        <v>13</v>
      </c>
      <c r="G144" t="s">
        <v>391</v>
      </c>
      <c r="H144" t="s">
        <v>28</v>
      </c>
      <c r="I144" t="s">
        <v>24</v>
      </c>
      <c r="J144" t="s">
        <v>25</v>
      </c>
      <c r="K144" t="s">
        <v>54</v>
      </c>
      <c r="L144" t="s">
        <v>54</v>
      </c>
    </row>
    <row r="145" spans="1:12" x14ac:dyDescent="0.2">
      <c r="A145">
        <v>837</v>
      </c>
      <c r="B145" t="s">
        <v>11</v>
      </c>
      <c r="C145" t="s">
        <v>19</v>
      </c>
      <c r="D145" t="s">
        <v>19</v>
      </c>
      <c r="E145">
        <v>0</v>
      </c>
      <c r="F145" t="s">
        <v>382</v>
      </c>
      <c r="G145" t="s">
        <v>396</v>
      </c>
      <c r="H145" t="s">
        <v>21</v>
      </c>
      <c r="I145" t="s">
        <v>49</v>
      </c>
      <c r="J145" t="s">
        <v>16</v>
      </c>
      <c r="K145" t="s">
        <v>63</v>
      </c>
      <c r="L145" t="s">
        <v>111</v>
      </c>
    </row>
    <row r="146" spans="1:12" x14ac:dyDescent="0.2">
      <c r="A146">
        <v>8425</v>
      </c>
      <c r="B146" t="s">
        <v>11</v>
      </c>
      <c r="C146" t="s">
        <v>12</v>
      </c>
      <c r="D146" t="s">
        <v>12</v>
      </c>
      <c r="E146">
        <v>0</v>
      </c>
      <c r="F146" t="s">
        <v>32</v>
      </c>
      <c r="G146" t="s">
        <v>402</v>
      </c>
      <c r="H146" t="s">
        <v>28</v>
      </c>
      <c r="I146" t="s">
        <v>57</v>
      </c>
      <c r="J146" t="s">
        <v>30</v>
      </c>
      <c r="K146" t="s">
        <v>47</v>
      </c>
      <c r="L146" t="s">
        <v>112</v>
      </c>
    </row>
    <row r="147" spans="1:12" x14ac:dyDescent="0.2">
      <c r="A147">
        <v>3857</v>
      </c>
      <c r="B147" t="s">
        <v>11</v>
      </c>
      <c r="C147" t="s">
        <v>19</v>
      </c>
      <c r="D147" t="s">
        <v>20</v>
      </c>
      <c r="E147">
        <v>1</v>
      </c>
      <c r="F147" t="s">
        <v>381</v>
      </c>
      <c r="G147" t="s">
        <v>402</v>
      </c>
      <c r="H147" t="s">
        <v>36</v>
      </c>
      <c r="I147" t="s">
        <v>113</v>
      </c>
      <c r="J147" t="s">
        <v>42</v>
      </c>
      <c r="K147" t="s">
        <v>17</v>
      </c>
      <c r="L147" t="s">
        <v>390</v>
      </c>
    </row>
    <row r="148" spans="1:12" x14ac:dyDescent="0.2">
      <c r="A148">
        <v>5178</v>
      </c>
      <c r="B148" t="s">
        <v>11</v>
      </c>
      <c r="C148" t="s">
        <v>19</v>
      </c>
      <c r="D148" t="s">
        <v>19</v>
      </c>
      <c r="E148">
        <v>0</v>
      </c>
      <c r="F148" t="s">
        <v>382</v>
      </c>
      <c r="G148" t="s">
        <v>391</v>
      </c>
      <c r="H148" t="s">
        <v>21</v>
      </c>
      <c r="I148" t="s">
        <v>61</v>
      </c>
      <c r="J148" t="s">
        <v>30</v>
      </c>
      <c r="K148" t="s">
        <v>63</v>
      </c>
      <c r="L148" t="s">
        <v>114</v>
      </c>
    </row>
    <row r="149" spans="1:12" x14ac:dyDescent="0.2">
      <c r="A149">
        <v>1955</v>
      </c>
      <c r="B149" t="s">
        <v>11</v>
      </c>
      <c r="C149" t="s">
        <v>12</v>
      </c>
      <c r="D149" t="s">
        <v>12</v>
      </c>
      <c r="E149">
        <v>0</v>
      </c>
      <c r="F149" t="s">
        <v>13</v>
      </c>
      <c r="G149" t="s">
        <v>420</v>
      </c>
      <c r="H149" t="s">
        <v>14</v>
      </c>
      <c r="I149" t="s">
        <v>78</v>
      </c>
      <c r="J149" t="s">
        <v>30</v>
      </c>
      <c r="K149" t="s">
        <v>26</v>
      </c>
      <c r="L149" t="s">
        <v>31</v>
      </c>
    </row>
    <row r="150" spans="1:12" x14ac:dyDescent="0.2">
      <c r="A150">
        <v>2086</v>
      </c>
      <c r="B150" t="s">
        <v>11</v>
      </c>
      <c r="C150" t="s">
        <v>12</v>
      </c>
      <c r="D150" t="s">
        <v>12</v>
      </c>
      <c r="E150">
        <v>0</v>
      </c>
      <c r="F150" t="s">
        <v>382</v>
      </c>
      <c r="G150" t="s">
        <v>402</v>
      </c>
      <c r="H150" t="s">
        <v>28</v>
      </c>
      <c r="I150" t="s">
        <v>390</v>
      </c>
      <c r="J150" t="s">
        <v>25</v>
      </c>
      <c r="K150" t="s">
        <v>37</v>
      </c>
      <c r="L150" t="s">
        <v>115</v>
      </c>
    </row>
    <row r="151" spans="1:12" x14ac:dyDescent="0.2">
      <c r="A151">
        <v>6382</v>
      </c>
      <c r="B151" t="s">
        <v>11</v>
      </c>
      <c r="C151" t="s">
        <v>12</v>
      </c>
      <c r="D151" t="s">
        <v>12</v>
      </c>
      <c r="E151">
        <v>0</v>
      </c>
      <c r="F151" t="s">
        <v>13</v>
      </c>
      <c r="G151" t="s">
        <v>402</v>
      </c>
      <c r="H151" t="s">
        <v>56</v>
      </c>
      <c r="I151" t="s">
        <v>390</v>
      </c>
      <c r="J151" t="s">
        <v>55</v>
      </c>
      <c r="K151" t="s">
        <v>33</v>
      </c>
      <c r="L151" t="s">
        <v>52</v>
      </c>
    </row>
    <row r="152" spans="1:12" x14ac:dyDescent="0.2">
      <c r="A152">
        <v>3146</v>
      </c>
      <c r="B152" t="s">
        <v>11</v>
      </c>
      <c r="C152" t="s">
        <v>12</v>
      </c>
      <c r="D152" t="s">
        <v>12</v>
      </c>
      <c r="E152">
        <v>0</v>
      </c>
      <c r="F152" t="s">
        <v>382</v>
      </c>
      <c r="G152" t="s">
        <v>402</v>
      </c>
      <c r="H152" t="s">
        <v>14</v>
      </c>
      <c r="I152" t="s">
        <v>390</v>
      </c>
      <c r="J152" t="s">
        <v>55</v>
      </c>
      <c r="K152" t="s">
        <v>17</v>
      </c>
      <c r="L152" t="s">
        <v>88</v>
      </c>
    </row>
    <row r="153" spans="1:12" x14ac:dyDescent="0.2">
      <c r="A153">
        <v>5893</v>
      </c>
      <c r="B153" t="s">
        <v>11</v>
      </c>
      <c r="C153" t="s">
        <v>12</v>
      </c>
      <c r="D153" t="s">
        <v>12</v>
      </c>
      <c r="E153">
        <v>0</v>
      </c>
      <c r="F153" t="s">
        <v>32</v>
      </c>
      <c r="G153" t="s">
        <v>420</v>
      </c>
      <c r="H153" t="s">
        <v>14</v>
      </c>
      <c r="I153" t="s">
        <v>390</v>
      </c>
      <c r="J153" t="s">
        <v>42</v>
      </c>
      <c r="K153" t="s">
        <v>33</v>
      </c>
      <c r="L153" t="s">
        <v>34</v>
      </c>
    </row>
    <row r="154" spans="1:12" x14ac:dyDescent="0.2">
      <c r="A154">
        <v>10177</v>
      </c>
      <c r="B154" t="s">
        <v>11</v>
      </c>
      <c r="C154" t="s">
        <v>12</v>
      </c>
      <c r="D154" t="s">
        <v>12</v>
      </c>
      <c r="E154">
        <v>0</v>
      </c>
      <c r="F154" t="s">
        <v>13</v>
      </c>
      <c r="G154" t="s">
        <v>391</v>
      </c>
      <c r="H154" t="s">
        <v>28</v>
      </c>
      <c r="I154" t="s">
        <v>24</v>
      </c>
      <c r="J154" t="s">
        <v>25</v>
      </c>
      <c r="K154" t="s">
        <v>37</v>
      </c>
      <c r="L154" t="s">
        <v>37</v>
      </c>
    </row>
    <row r="155" spans="1:12" x14ac:dyDescent="0.2">
      <c r="A155">
        <v>6126</v>
      </c>
      <c r="B155" t="s">
        <v>11</v>
      </c>
      <c r="C155" t="s">
        <v>19</v>
      </c>
      <c r="D155" t="s">
        <v>20</v>
      </c>
      <c r="E155">
        <v>1</v>
      </c>
      <c r="F155" t="s">
        <v>381</v>
      </c>
      <c r="G155" t="s">
        <v>420</v>
      </c>
      <c r="H155" t="s">
        <v>36</v>
      </c>
      <c r="I155" t="s">
        <v>49</v>
      </c>
      <c r="J155" t="s">
        <v>16</v>
      </c>
      <c r="K155" t="s">
        <v>17</v>
      </c>
      <c r="L155" t="s">
        <v>390</v>
      </c>
    </row>
    <row r="156" spans="1:12" x14ac:dyDescent="0.2">
      <c r="A156">
        <v>1943</v>
      </c>
      <c r="B156" t="s">
        <v>11</v>
      </c>
      <c r="C156" t="s">
        <v>19</v>
      </c>
      <c r="D156" t="s">
        <v>19</v>
      </c>
      <c r="E156">
        <v>0</v>
      </c>
      <c r="F156" t="s">
        <v>382</v>
      </c>
      <c r="G156" t="s">
        <v>402</v>
      </c>
      <c r="H156" t="s">
        <v>21</v>
      </c>
      <c r="I156" t="s">
        <v>57</v>
      </c>
      <c r="J156" t="s">
        <v>30</v>
      </c>
      <c r="K156" t="s">
        <v>37</v>
      </c>
      <c r="L156" t="s">
        <v>31</v>
      </c>
    </row>
    <row r="157" spans="1:12" x14ac:dyDescent="0.2">
      <c r="A157">
        <v>6413</v>
      </c>
      <c r="B157" t="s">
        <v>11</v>
      </c>
      <c r="C157" t="s">
        <v>12</v>
      </c>
      <c r="D157" t="s">
        <v>12</v>
      </c>
      <c r="E157">
        <v>0</v>
      </c>
      <c r="F157" t="s">
        <v>13</v>
      </c>
      <c r="G157" t="s">
        <v>396</v>
      </c>
      <c r="H157" t="s">
        <v>44</v>
      </c>
      <c r="I157" t="s">
        <v>113</v>
      </c>
      <c r="J157" t="s">
        <v>42</v>
      </c>
      <c r="K157" t="s">
        <v>83</v>
      </c>
      <c r="L157" t="s">
        <v>116</v>
      </c>
    </row>
    <row r="158" spans="1:12" x14ac:dyDescent="0.2">
      <c r="A158">
        <v>9293</v>
      </c>
      <c r="B158" t="s">
        <v>11</v>
      </c>
      <c r="C158" t="s">
        <v>12</v>
      </c>
      <c r="D158" t="s">
        <v>12</v>
      </c>
      <c r="E158">
        <v>0</v>
      </c>
      <c r="F158" t="s">
        <v>13</v>
      </c>
      <c r="G158" t="s">
        <v>420</v>
      </c>
      <c r="H158" t="s">
        <v>21</v>
      </c>
      <c r="I158" t="s">
        <v>57</v>
      </c>
      <c r="J158" t="s">
        <v>30</v>
      </c>
      <c r="K158" t="s">
        <v>33</v>
      </c>
      <c r="L158" t="s">
        <v>33</v>
      </c>
    </row>
    <row r="159" spans="1:12" x14ac:dyDescent="0.2">
      <c r="A159">
        <v>1844</v>
      </c>
      <c r="B159" t="s">
        <v>11</v>
      </c>
      <c r="C159" t="s">
        <v>12</v>
      </c>
      <c r="D159" t="s">
        <v>12</v>
      </c>
      <c r="E159">
        <v>0</v>
      </c>
      <c r="F159" t="s">
        <v>13</v>
      </c>
      <c r="G159" t="s">
        <v>396</v>
      </c>
      <c r="H159" t="s">
        <v>28</v>
      </c>
      <c r="I159" t="s">
        <v>78</v>
      </c>
      <c r="J159" t="s">
        <v>30</v>
      </c>
      <c r="K159" t="s">
        <v>26</v>
      </c>
      <c r="L159" t="s">
        <v>74</v>
      </c>
    </row>
    <row r="160" spans="1:12" x14ac:dyDescent="0.2">
      <c r="A160">
        <v>2483</v>
      </c>
      <c r="B160" t="s">
        <v>11</v>
      </c>
      <c r="C160" t="s">
        <v>19</v>
      </c>
      <c r="D160" t="s">
        <v>12</v>
      </c>
      <c r="E160">
        <v>1</v>
      </c>
      <c r="F160" t="s">
        <v>13</v>
      </c>
      <c r="G160" t="s">
        <v>428</v>
      </c>
      <c r="H160" t="s">
        <v>56</v>
      </c>
      <c r="I160" t="s">
        <v>49</v>
      </c>
      <c r="J160" t="s">
        <v>16</v>
      </c>
      <c r="K160" t="s">
        <v>55</v>
      </c>
      <c r="L160" t="s">
        <v>55</v>
      </c>
    </row>
    <row r="161" spans="1:12" x14ac:dyDescent="0.2">
      <c r="A161">
        <v>6007</v>
      </c>
      <c r="B161" t="s">
        <v>11</v>
      </c>
      <c r="C161" t="s">
        <v>12</v>
      </c>
      <c r="D161" t="s">
        <v>12</v>
      </c>
      <c r="E161">
        <v>0</v>
      </c>
      <c r="F161" t="s">
        <v>13</v>
      </c>
      <c r="G161" t="s">
        <v>402</v>
      </c>
      <c r="H161" t="s">
        <v>28</v>
      </c>
      <c r="I161" t="s">
        <v>61</v>
      </c>
      <c r="J161" t="s">
        <v>30</v>
      </c>
      <c r="K161" t="s">
        <v>17</v>
      </c>
      <c r="L161" t="s">
        <v>66</v>
      </c>
    </row>
    <row r="162" spans="1:12" x14ac:dyDescent="0.2">
      <c r="A162">
        <v>5312</v>
      </c>
      <c r="B162" t="s">
        <v>11</v>
      </c>
      <c r="C162" t="s">
        <v>12</v>
      </c>
      <c r="D162" t="s">
        <v>12</v>
      </c>
      <c r="E162">
        <v>0</v>
      </c>
      <c r="F162" t="s">
        <v>13</v>
      </c>
      <c r="G162" t="s">
        <v>402</v>
      </c>
      <c r="H162" t="s">
        <v>44</v>
      </c>
      <c r="I162" t="s">
        <v>61</v>
      </c>
      <c r="J162" t="s">
        <v>30</v>
      </c>
      <c r="K162" t="s">
        <v>83</v>
      </c>
      <c r="L162" t="s">
        <v>117</v>
      </c>
    </row>
    <row r="163" spans="1:12" x14ac:dyDescent="0.2">
      <c r="A163">
        <v>9456</v>
      </c>
      <c r="B163" t="s">
        <v>11</v>
      </c>
      <c r="C163" t="s">
        <v>12</v>
      </c>
      <c r="D163" t="s">
        <v>12</v>
      </c>
      <c r="E163">
        <v>0</v>
      </c>
      <c r="F163" t="s">
        <v>13</v>
      </c>
      <c r="G163" t="s">
        <v>402</v>
      </c>
      <c r="H163" t="s">
        <v>28</v>
      </c>
      <c r="I163" t="s">
        <v>24</v>
      </c>
      <c r="J163" t="s">
        <v>25</v>
      </c>
      <c r="K163" t="s">
        <v>37</v>
      </c>
      <c r="L163" t="s">
        <v>37</v>
      </c>
    </row>
    <row r="164" spans="1:12" x14ac:dyDescent="0.2">
      <c r="A164">
        <v>9745</v>
      </c>
      <c r="B164" t="s">
        <v>11</v>
      </c>
      <c r="C164" t="s">
        <v>12</v>
      </c>
      <c r="D164" t="s">
        <v>12</v>
      </c>
      <c r="E164">
        <v>0</v>
      </c>
      <c r="F164" t="s">
        <v>13</v>
      </c>
      <c r="G164" t="s">
        <v>420</v>
      </c>
      <c r="H164" t="s">
        <v>14</v>
      </c>
      <c r="I164" t="s">
        <v>118</v>
      </c>
      <c r="J164" t="s">
        <v>25</v>
      </c>
      <c r="K164" t="s">
        <v>37</v>
      </c>
      <c r="L164" t="s">
        <v>58</v>
      </c>
    </row>
    <row r="165" spans="1:12" x14ac:dyDescent="0.2">
      <c r="A165">
        <v>4750</v>
      </c>
      <c r="B165" t="s">
        <v>11</v>
      </c>
      <c r="C165" t="s">
        <v>12</v>
      </c>
      <c r="D165" t="s">
        <v>12</v>
      </c>
      <c r="E165">
        <v>0</v>
      </c>
      <c r="F165" t="s">
        <v>13</v>
      </c>
      <c r="G165" t="s">
        <v>420</v>
      </c>
      <c r="H165" t="s">
        <v>44</v>
      </c>
      <c r="I165" t="s">
        <v>61</v>
      </c>
      <c r="J165" t="s">
        <v>30</v>
      </c>
      <c r="K165" t="s">
        <v>83</v>
      </c>
      <c r="L165" t="s">
        <v>119</v>
      </c>
    </row>
    <row r="166" spans="1:12" x14ac:dyDescent="0.2">
      <c r="A166">
        <v>6522</v>
      </c>
      <c r="B166" t="s">
        <v>11</v>
      </c>
      <c r="C166" t="s">
        <v>12</v>
      </c>
      <c r="D166" t="s">
        <v>12</v>
      </c>
      <c r="E166">
        <v>0</v>
      </c>
      <c r="F166" t="s">
        <v>382</v>
      </c>
      <c r="G166" t="s">
        <v>420</v>
      </c>
      <c r="H166" t="s">
        <v>14</v>
      </c>
      <c r="I166" t="s">
        <v>390</v>
      </c>
      <c r="J166" t="s">
        <v>23</v>
      </c>
      <c r="K166" t="s">
        <v>47</v>
      </c>
      <c r="L166" t="s">
        <v>91</v>
      </c>
    </row>
    <row r="167" spans="1:12" x14ac:dyDescent="0.2">
      <c r="A167">
        <v>2343</v>
      </c>
      <c r="B167" t="s">
        <v>11</v>
      </c>
      <c r="C167" t="s">
        <v>19</v>
      </c>
      <c r="D167" t="s">
        <v>20</v>
      </c>
      <c r="E167">
        <v>1</v>
      </c>
      <c r="F167" t="s">
        <v>381</v>
      </c>
      <c r="G167" t="s">
        <v>402</v>
      </c>
      <c r="H167" t="s">
        <v>21</v>
      </c>
      <c r="I167" t="s">
        <v>390</v>
      </c>
      <c r="J167" t="s">
        <v>23</v>
      </c>
      <c r="K167" t="s">
        <v>17</v>
      </c>
      <c r="L167" t="s">
        <v>390</v>
      </c>
    </row>
    <row r="168" spans="1:12" x14ac:dyDescent="0.2">
      <c r="A168">
        <v>9730</v>
      </c>
      <c r="B168" t="s">
        <v>11</v>
      </c>
      <c r="C168" t="s">
        <v>12</v>
      </c>
      <c r="D168" t="s">
        <v>12</v>
      </c>
      <c r="E168">
        <v>0</v>
      </c>
      <c r="F168" t="s">
        <v>13</v>
      </c>
      <c r="G168" t="s">
        <v>396</v>
      </c>
      <c r="H168" t="s">
        <v>28</v>
      </c>
      <c r="I168" t="s">
        <v>390</v>
      </c>
      <c r="J168" t="s">
        <v>25</v>
      </c>
      <c r="K168" t="s">
        <v>37</v>
      </c>
      <c r="L168" t="s">
        <v>53</v>
      </c>
    </row>
    <row r="169" spans="1:12" x14ac:dyDescent="0.2">
      <c r="A169">
        <v>2000</v>
      </c>
      <c r="B169" t="s">
        <v>11</v>
      </c>
      <c r="C169" t="s">
        <v>19</v>
      </c>
      <c r="D169" t="s">
        <v>20</v>
      </c>
      <c r="E169">
        <v>1</v>
      </c>
      <c r="F169" t="s">
        <v>381</v>
      </c>
      <c r="G169" t="s">
        <v>420</v>
      </c>
      <c r="H169" t="s">
        <v>21</v>
      </c>
      <c r="I169" t="s">
        <v>80</v>
      </c>
      <c r="J169" t="s">
        <v>23</v>
      </c>
      <c r="K169" t="s">
        <v>17</v>
      </c>
      <c r="L169" t="s">
        <v>390</v>
      </c>
    </row>
    <row r="170" spans="1:12" x14ac:dyDescent="0.2">
      <c r="A170">
        <v>3329</v>
      </c>
      <c r="B170" t="s">
        <v>11</v>
      </c>
      <c r="C170" t="s">
        <v>12</v>
      </c>
      <c r="D170" t="s">
        <v>20</v>
      </c>
      <c r="E170">
        <v>1</v>
      </c>
      <c r="F170" t="s">
        <v>381</v>
      </c>
      <c r="G170" t="s">
        <v>428</v>
      </c>
      <c r="H170" t="s">
        <v>36</v>
      </c>
      <c r="I170" t="s">
        <v>73</v>
      </c>
      <c r="J170" t="s">
        <v>25</v>
      </c>
      <c r="K170" t="s">
        <v>17</v>
      </c>
      <c r="L170" t="s">
        <v>390</v>
      </c>
    </row>
    <row r="171" spans="1:12" x14ac:dyDescent="0.2">
      <c r="A171">
        <v>7837</v>
      </c>
      <c r="B171" t="s">
        <v>11</v>
      </c>
      <c r="C171" t="s">
        <v>12</v>
      </c>
      <c r="D171" t="s">
        <v>12</v>
      </c>
      <c r="E171">
        <v>0</v>
      </c>
      <c r="F171" t="s">
        <v>13</v>
      </c>
      <c r="G171" t="s">
        <v>402</v>
      </c>
      <c r="H171" t="s">
        <v>28</v>
      </c>
      <c r="I171" t="s">
        <v>390</v>
      </c>
      <c r="J171" t="s">
        <v>30</v>
      </c>
      <c r="K171" t="s">
        <v>17</v>
      </c>
      <c r="L171" t="s">
        <v>120</v>
      </c>
    </row>
    <row r="172" spans="1:12" x14ac:dyDescent="0.2">
      <c r="A172">
        <v>8919</v>
      </c>
      <c r="B172" t="s">
        <v>11</v>
      </c>
      <c r="C172" t="s">
        <v>19</v>
      </c>
      <c r="D172" t="s">
        <v>20</v>
      </c>
      <c r="E172">
        <v>1</v>
      </c>
      <c r="F172" t="s">
        <v>381</v>
      </c>
      <c r="G172" t="s">
        <v>420</v>
      </c>
      <c r="H172" t="s">
        <v>21</v>
      </c>
      <c r="I172" t="s">
        <v>85</v>
      </c>
      <c r="J172" t="s">
        <v>16</v>
      </c>
      <c r="K172" t="s">
        <v>17</v>
      </c>
      <c r="L172" t="s">
        <v>390</v>
      </c>
    </row>
    <row r="173" spans="1:12" x14ac:dyDescent="0.2">
      <c r="A173">
        <v>10164</v>
      </c>
      <c r="B173" t="s">
        <v>11</v>
      </c>
      <c r="C173" t="s">
        <v>12</v>
      </c>
      <c r="D173" t="s">
        <v>12</v>
      </c>
      <c r="E173">
        <v>0</v>
      </c>
      <c r="F173" t="s">
        <v>13</v>
      </c>
      <c r="G173" t="s">
        <v>402</v>
      </c>
      <c r="H173" t="s">
        <v>28</v>
      </c>
      <c r="I173" t="s">
        <v>24</v>
      </c>
      <c r="J173" t="s">
        <v>25</v>
      </c>
      <c r="K173" t="s">
        <v>63</v>
      </c>
      <c r="L173" t="s">
        <v>63</v>
      </c>
    </row>
    <row r="174" spans="1:12" x14ac:dyDescent="0.2">
      <c r="A174">
        <v>4086</v>
      </c>
      <c r="B174" t="s">
        <v>11</v>
      </c>
      <c r="C174" t="s">
        <v>19</v>
      </c>
      <c r="D174" t="s">
        <v>20</v>
      </c>
      <c r="E174">
        <v>1</v>
      </c>
      <c r="F174" t="s">
        <v>381</v>
      </c>
      <c r="G174" t="s">
        <v>391</v>
      </c>
      <c r="H174" t="s">
        <v>21</v>
      </c>
      <c r="I174" t="s">
        <v>121</v>
      </c>
      <c r="J174" t="s">
        <v>25</v>
      </c>
      <c r="K174" t="s">
        <v>17</v>
      </c>
      <c r="L174" t="s">
        <v>63</v>
      </c>
    </row>
    <row r="175" spans="1:12" x14ac:dyDescent="0.2">
      <c r="A175">
        <v>10166</v>
      </c>
      <c r="B175" t="s">
        <v>11</v>
      </c>
      <c r="C175" t="s">
        <v>12</v>
      </c>
      <c r="D175" t="s">
        <v>12</v>
      </c>
      <c r="E175">
        <v>0</v>
      </c>
      <c r="F175" t="s">
        <v>13</v>
      </c>
      <c r="G175" t="s">
        <v>402</v>
      </c>
      <c r="H175" t="s">
        <v>28</v>
      </c>
      <c r="I175" t="s">
        <v>24</v>
      </c>
      <c r="J175" t="s">
        <v>25</v>
      </c>
      <c r="K175" t="s">
        <v>37</v>
      </c>
      <c r="L175" t="s">
        <v>122</v>
      </c>
    </row>
    <row r="176" spans="1:12" x14ac:dyDescent="0.2">
      <c r="A176">
        <v>10014</v>
      </c>
      <c r="B176" t="s">
        <v>11</v>
      </c>
      <c r="C176" t="s">
        <v>12</v>
      </c>
      <c r="D176" t="s">
        <v>12</v>
      </c>
      <c r="E176">
        <v>0</v>
      </c>
      <c r="F176" t="s">
        <v>13</v>
      </c>
      <c r="G176" t="s">
        <v>402</v>
      </c>
      <c r="H176" t="s">
        <v>28</v>
      </c>
      <c r="I176" t="s">
        <v>24</v>
      </c>
      <c r="J176" t="s">
        <v>25</v>
      </c>
      <c r="K176" t="s">
        <v>37</v>
      </c>
      <c r="L176" t="s">
        <v>58</v>
      </c>
    </row>
    <row r="177" spans="1:12" x14ac:dyDescent="0.2">
      <c r="A177">
        <v>6026</v>
      </c>
      <c r="B177" t="s">
        <v>11</v>
      </c>
      <c r="C177" t="s">
        <v>12</v>
      </c>
      <c r="D177" t="s">
        <v>12</v>
      </c>
      <c r="E177">
        <v>0</v>
      </c>
      <c r="F177" t="s">
        <v>13</v>
      </c>
      <c r="G177" t="s">
        <v>402</v>
      </c>
      <c r="H177" t="s">
        <v>14</v>
      </c>
      <c r="I177" t="s">
        <v>50</v>
      </c>
      <c r="J177" t="s">
        <v>51</v>
      </c>
      <c r="K177" t="s">
        <v>63</v>
      </c>
      <c r="L177" t="s">
        <v>123</v>
      </c>
    </row>
    <row r="178" spans="1:12" x14ac:dyDescent="0.2">
      <c r="A178">
        <v>7788</v>
      </c>
      <c r="B178" t="s">
        <v>11</v>
      </c>
      <c r="C178" t="s">
        <v>12</v>
      </c>
      <c r="D178" t="s">
        <v>12</v>
      </c>
      <c r="E178">
        <v>0</v>
      </c>
      <c r="F178" t="s">
        <v>382</v>
      </c>
      <c r="G178" t="s">
        <v>391</v>
      </c>
      <c r="H178" t="s">
        <v>14</v>
      </c>
      <c r="I178" t="s">
        <v>390</v>
      </c>
      <c r="J178" t="s">
        <v>23</v>
      </c>
      <c r="K178" t="s">
        <v>17</v>
      </c>
      <c r="L178" t="s">
        <v>18</v>
      </c>
    </row>
    <row r="179" spans="1:12" x14ac:dyDescent="0.2">
      <c r="A179">
        <v>273</v>
      </c>
      <c r="B179" t="s">
        <v>11</v>
      </c>
      <c r="C179" t="s">
        <v>19</v>
      </c>
      <c r="D179" t="s">
        <v>20</v>
      </c>
      <c r="E179">
        <v>1</v>
      </c>
      <c r="F179" t="s">
        <v>381</v>
      </c>
      <c r="G179" t="s">
        <v>402</v>
      </c>
      <c r="H179" t="s">
        <v>21</v>
      </c>
      <c r="I179" t="s">
        <v>390</v>
      </c>
      <c r="J179" t="s">
        <v>23</v>
      </c>
      <c r="K179" t="s">
        <v>17</v>
      </c>
      <c r="L179" t="s">
        <v>40</v>
      </c>
    </row>
    <row r="180" spans="1:12" x14ac:dyDescent="0.2">
      <c r="A180">
        <v>3253</v>
      </c>
      <c r="B180" t="s">
        <v>11</v>
      </c>
      <c r="C180" t="s">
        <v>12</v>
      </c>
      <c r="D180" t="s">
        <v>12</v>
      </c>
      <c r="E180">
        <v>0</v>
      </c>
      <c r="F180" t="s">
        <v>13</v>
      </c>
      <c r="G180" t="s">
        <v>391</v>
      </c>
      <c r="H180" t="s">
        <v>28</v>
      </c>
      <c r="I180" t="s">
        <v>390</v>
      </c>
      <c r="J180" t="s">
        <v>30</v>
      </c>
      <c r="K180" t="s">
        <v>47</v>
      </c>
      <c r="L180" t="s">
        <v>91</v>
      </c>
    </row>
    <row r="181" spans="1:12" x14ac:dyDescent="0.2">
      <c r="A181">
        <v>1058</v>
      </c>
      <c r="B181" t="s">
        <v>11</v>
      </c>
      <c r="C181" t="s">
        <v>12</v>
      </c>
      <c r="D181" t="s">
        <v>12</v>
      </c>
      <c r="E181">
        <v>0</v>
      </c>
      <c r="F181" t="s">
        <v>13</v>
      </c>
      <c r="G181" t="s">
        <v>36</v>
      </c>
      <c r="H181" t="s">
        <v>44</v>
      </c>
      <c r="I181" t="s">
        <v>124</v>
      </c>
      <c r="J181" t="s">
        <v>51</v>
      </c>
      <c r="K181" t="s">
        <v>63</v>
      </c>
      <c r="L181" t="s">
        <v>125</v>
      </c>
    </row>
    <row r="182" spans="1:12" x14ac:dyDescent="0.2">
      <c r="A182">
        <v>9561</v>
      </c>
      <c r="B182" t="s">
        <v>11</v>
      </c>
      <c r="C182" t="s">
        <v>19</v>
      </c>
      <c r="D182" t="s">
        <v>19</v>
      </c>
      <c r="E182">
        <v>0</v>
      </c>
      <c r="F182" t="s">
        <v>13</v>
      </c>
      <c r="G182" t="s">
        <v>402</v>
      </c>
      <c r="H182" t="s">
        <v>21</v>
      </c>
      <c r="I182" t="s">
        <v>24</v>
      </c>
      <c r="J182" t="s">
        <v>25</v>
      </c>
      <c r="K182" t="s">
        <v>37</v>
      </c>
      <c r="L182" t="s">
        <v>31</v>
      </c>
    </row>
    <row r="183" spans="1:12" x14ac:dyDescent="0.2">
      <c r="A183">
        <v>2838</v>
      </c>
      <c r="B183" t="s">
        <v>11</v>
      </c>
      <c r="C183" t="s">
        <v>19</v>
      </c>
      <c r="D183" t="s">
        <v>19</v>
      </c>
      <c r="E183">
        <v>0</v>
      </c>
      <c r="F183" t="s">
        <v>382</v>
      </c>
      <c r="G183" t="s">
        <v>391</v>
      </c>
      <c r="H183" t="s">
        <v>21</v>
      </c>
      <c r="I183" t="s">
        <v>82</v>
      </c>
      <c r="J183" t="s">
        <v>51</v>
      </c>
      <c r="K183" t="s">
        <v>26</v>
      </c>
      <c r="L183" t="s">
        <v>31</v>
      </c>
    </row>
    <row r="184" spans="1:12" x14ac:dyDescent="0.2">
      <c r="A184">
        <v>2180</v>
      </c>
      <c r="B184" t="s">
        <v>11</v>
      </c>
      <c r="C184" t="s">
        <v>12</v>
      </c>
      <c r="D184" t="s">
        <v>12</v>
      </c>
      <c r="E184">
        <v>0</v>
      </c>
      <c r="F184" t="s">
        <v>32</v>
      </c>
      <c r="G184" t="s">
        <v>396</v>
      </c>
      <c r="H184" t="s">
        <v>28</v>
      </c>
      <c r="I184" t="s">
        <v>45</v>
      </c>
      <c r="J184" t="s">
        <v>42</v>
      </c>
      <c r="K184" t="s">
        <v>33</v>
      </c>
      <c r="L184" t="s">
        <v>48</v>
      </c>
    </row>
    <row r="185" spans="1:12" x14ac:dyDescent="0.2">
      <c r="A185">
        <v>8397</v>
      </c>
      <c r="B185" t="s">
        <v>11</v>
      </c>
      <c r="C185" t="s">
        <v>12</v>
      </c>
      <c r="D185" t="s">
        <v>12</v>
      </c>
      <c r="E185">
        <v>0</v>
      </c>
      <c r="F185" t="s">
        <v>13</v>
      </c>
      <c r="G185" t="s">
        <v>391</v>
      </c>
      <c r="H185" t="s">
        <v>21</v>
      </c>
      <c r="I185" t="s">
        <v>57</v>
      </c>
      <c r="J185" t="s">
        <v>30</v>
      </c>
      <c r="K185" t="s">
        <v>33</v>
      </c>
      <c r="L185" t="s">
        <v>126</v>
      </c>
    </row>
    <row r="186" spans="1:12" x14ac:dyDescent="0.2">
      <c r="A186">
        <v>4136</v>
      </c>
      <c r="B186" t="s">
        <v>11</v>
      </c>
      <c r="C186" t="s">
        <v>12</v>
      </c>
      <c r="D186" t="s">
        <v>20</v>
      </c>
      <c r="E186">
        <v>1</v>
      </c>
      <c r="F186" t="s">
        <v>381</v>
      </c>
      <c r="G186" t="s">
        <v>402</v>
      </c>
      <c r="H186" t="s">
        <v>21</v>
      </c>
      <c r="I186" t="s">
        <v>49</v>
      </c>
      <c r="J186" t="s">
        <v>16</v>
      </c>
      <c r="K186" t="s">
        <v>17</v>
      </c>
      <c r="L186" t="s">
        <v>390</v>
      </c>
    </row>
    <row r="187" spans="1:12" x14ac:dyDescent="0.2">
      <c r="A187">
        <v>2917</v>
      </c>
      <c r="B187" t="s">
        <v>11</v>
      </c>
      <c r="C187" t="s">
        <v>12</v>
      </c>
      <c r="D187" t="s">
        <v>12</v>
      </c>
      <c r="E187">
        <v>0</v>
      </c>
      <c r="F187" t="s">
        <v>382</v>
      </c>
      <c r="G187" t="s">
        <v>391</v>
      </c>
      <c r="H187" t="s">
        <v>56</v>
      </c>
      <c r="I187" t="s">
        <v>49</v>
      </c>
      <c r="J187" t="s">
        <v>16</v>
      </c>
      <c r="K187" t="s">
        <v>17</v>
      </c>
      <c r="L187" t="s">
        <v>66</v>
      </c>
    </row>
    <row r="188" spans="1:12" x14ac:dyDescent="0.2">
      <c r="A188">
        <v>6737</v>
      </c>
      <c r="B188" t="s">
        <v>11</v>
      </c>
      <c r="C188" t="s">
        <v>12</v>
      </c>
      <c r="D188" t="s">
        <v>12</v>
      </c>
      <c r="E188">
        <v>0</v>
      </c>
      <c r="F188" t="s">
        <v>13</v>
      </c>
      <c r="G188" t="s">
        <v>402</v>
      </c>
      <c r="H188" t="s">
        <v>28</v>
      </c>
      <c r="I188" t="s">
        <v>61</v>
      </c>
      <c r="J188" t="s">
        <v>30</v>
      </c>
      <c r="K188" t="s">
        <v>26</v>
      </c>
      <c r="L188" t="s">
        <v>67</v>
      </c>
    </row>
    <row r="189" spans="1:12" x14ac:dyDescent="0.2">
      <c r="A189">
        <v>9366</v>
      </c>
      <c r="B189" t="s">
        <v>11</v>
      </c>
      <c r="C189" t="s">
        <v>12</v>
      </c>
      <c r="D189" t="s">
        <v>12</v>
      </c>
      <c r="E189">
        <v>0</v>
      </c>
      <c r="F189" t="s">
        <v>13</v>
      </c>
      <c r="G189" t="s">
        <v>404</v>
      </c>
      <c r="H189" t="s">
        <v>28</v>
      </c>
      <c r="I189" t="s">
        <v>24</v>
      </c>
      <c r="J189" t="s">
        <v>25</v>
      </c>
      <c r="K189" t="s">
        <v>37</v>
      </c>
      <c r="L189" t="s">
        <v>53</v>
      </c>
    </row>
    <row r="190" spans="1:12" x14ac:dyDescent="0.2">
      <c r="A190">
        <v>1758</v>
      </c>
      <c r="B190" t="s">
        <v>11</v>
      </c>
      <c r="C190" t="s">
        <v>12</v>
      </c>
      <c r="D190" t="s">
        <v>12</v>
      </c>
      <c r="E190">
        <v>0</v>
      </c>
      <c r="F190" t="s">
        <v>32</v>
      </c>
      <c r="G190" t="s">
        <v>391</v>
      </c>
      <c r="H190" t="s">
        <v>56</v>
      </c>
      <c r="I190" t="s">
        <v>124</v>
      </c>
      <c r="J190" t="s">
        <v>23</v>
      </c>
      <c r="K190" t="s">
        <v>47</v>
      </c>
      <c r="L190" t="s">
        <v>48</v>
      </c>
    </row>
    <row r="191" spans="1:12" x14ac:dyDescent="0.2">
      <c r="A191">
        <v>3675</v>
      </c>
      <c r="B191" t="s">
        <v>11</v>
      </c>
      <c r="C191" t="s">
        <v>12</v>
      </c>
      <c r="D191" t="s">
        <v>12</v>
      </c>
      <c r="E191">
        <v>0</v>
      </c>
      <c r="F191" t="s">
        <v>382</v>
      </c>
      <c r="G191" t="s">
        <v>419</v>
      </c>
      <c r="H191" t="s">
        <v>28</v>
      </c>
      <c r="I191" t="s">
        <v>127</v>
      </c>
      <c r="J191" t="s">
        <v>42</v>
      </c>
      <c r="K191" t="s">
        <v>39</v>
      </c>
      <c r="L191" t="s">
        <v>40</v>
      </c>
    </row>
    <row r="192" spans="1:12" x14ac:dyDescent="0.2">
      <c r="A192">
        <v>8509</v>
      </c>
      <c r="B192" t="s">
        <v>11</v>
      </c>
      <c r="C192" t="s">
        <v>12</v>
      </c>
      <c r="D192" t="s">
        <v>12</v>
      </c>
      <c r="E192">
        <v>0</v>
      </c>
      <c r="F192" t="s">
        <v>13</v>
      </c>
      <c r="G192" t="s">
        <v>391</v>
      </c>
      <c r="H192" t="s">
        <v>21</v>
      </c>
      <c r="I192" t="s">
        <v>57</v>
      </c>
      <c r="J192" t="s">
        <v>30</v>
      </c>
      <c r="K192" t="s">
        <v>33</v>
      </c>
      <c r="L192" t="s">
        <v>98</v>
      </c>
    </row>
    <row r="193" spans="1:12" x14ac:dyDescent="0.2">
      <c r="A193">
        <v>10239</v>
      </c>
      <c r="B193" t="s">
        <v>11</v>
      </c>
      <c r="C193" t="s">
        <v>12</v>
      </c>
      <c r="D193" t="s">
        <v>12</v>
      </c>
      <c r="E193">
        <v>0</v>
      </c>
      <c r="F193" t="s">
        <v>32</v>
      </c>
      <c r="G193" t="s">
        <v>391</v>
      </c>
      <c r="H193" t="s">
        <v>28</v>
      </c>
      <c r="I193" t="s">
        <v>390</v>
      </c>
      <c r="J193" t="s">
        <v>36</v>
      </c>
      <c r="K193" t="s">
        <v>33</v>
      </c>
      <c r="L193" t="s">
        <v>34</v>
      </c>
    </row>
    <row r="194" spans="1:12" x14ac:dyDescent="0.2">
      <c r="A194">
        <v>3159</v>
      </c>
      <c r="B194" t="s">
        <v>11</v>
      </c>
      <c r="C194" t="s">
        <v>19</v>
      </c>
      <c r="D194" t="s">
        <v>19</v>
      </c>
      <c r="E194">
        <v>0</v>
      </c>
      <c r="F194" t="s">
        <v>32</v>
      </c>
      <c r="G194" t="s">
        <v>391</v>
      </c>
      <c r="H194" t="s">
        <v>21</v>
      </c>
      <c r="I194" t="s">
        <v>50</v>
      </c>
      <c r="J194" t="s">
        <v>51</v>
      </c>
      <c r="K194" t="s">
        <v>33</v>
      </c>
      <c r="L194" t="s">
        <v>34</v>
      </c>
    </row>
    <row r="195" spans="1:12" x14ac:dyDescent="0.2">
      <c r="A195">
        <v>3908</v>
      </c>
      <c r="B195" t="s">
        <v>11</v>
      </c>
      <c r="C195" t="s">
        <v>12</v>
      </c>
      <c r="D195" t="s">
        <v>12</v>
      </c>
      <c r="E195">
        <v>0</v>
      </c>
      <c r="F195" t="s">
        <v>13</v>
      </c>
      <c r="G195" t="s">
        <v>391</v>
      </c>
      <c r="H195" t="s">
        <v>28</v>
      </c>
      <c r="I195" t="s">
        <v>49</v>
      </c>
      <c r="J195" t="s">
        <v>16</v>
      </c>
      <c r="K195" t="s">
        <v>54</v>
      </c>
      <c r="L195" t="s">
        <v>128</v>
      </c>
    </row>
    <row r="196" spans="1:12" x14ac:dyDescent="0.2">
      <c r="A196">
        <v>3968</v>
      </c>
      <c r="B196" t="s">
        <v>11</v>
      </c>
      <c r="C196" t="s">
        <v>12</v>
      </c>
      <c r="D196" t="s">
        <v>12</v>
      </c>
      <c r="E196">
        <v>0</v>
      </c>
      <c r="F196" t="s">
        <v>382</v>
      </c>
      <c r="G196" t="s">
        <v>391</v>
      </c>
      <c r="H196" t="s">
        <v>14</v>
      </c>
      <c r="I196" t="s">
        <v>129</v>
      </c>
      <c r="J196" t="s">
        <v>25</v>
      </c>
      <c r="K196" t="s">
        <v>37</v>
      </c>
      <c r="L196" t="s">
        <v>67</v>
      </c>
    </row>
    <row r="197" spans="1:12" x14ac:dyDescent="0.2">
      <c r="A197">
        <v>10136</v>
      </c>
      <c r="B197" t="s">
        <v>11</v>
      </c>
      <c r="C197" t="s">
        <v>12</v>
      </c>
      <c r="D197" t="s">
        <v>12</v>
      </c>
      <c r="E197">
        <v>0</v>
      </c>
      <c r="F197" t="s">
        <v>382</v>
      </c>
      <c r="G197" t="s">
        <v>391</v>
      </c>
      <c r="H197" t="s">
        <v>56</v>
      </c>
      <c r="I197" t="s">
        <v>390</v>
      </c>
      <c r="J197" t="s">
        <v>55</v>
      </c>
      <c r="K197" t="s">
        <v>33</v>
      </c>
      <c r="L197" t="s">
        <v>98</v>
      </c>
    </row>
    <row r="198" spans="1:12" x14ac:dyDescent="0.2">
      <c r="A198">
        <v>2508</v>
      </c>
      <c r="B198" t="s">
        <v>11</v>
      </c>
      <c r="C198" t="s">
        <v>19</v>
      </c>
      <c r="D198" t="s">
        <v>19</v>
      </c>
      <c r="E198">
        <v>0</v>
      </c>
      <c r="F198" t="s">
        <v>32</v>
      </c>
      <c r="G198" t="s">
        <v>420</v>
      </c>
      <c r="H198" t="s">
        <v>21</v>
      </c>
      <c r="I198" t="s">
        <v>57</v>
      </c>
      <c r="J198" t="s">
        <v>30</v>
      </c>
      <c r="K198" t="s">
        <v>37</v>
      </c>
      <c r="L198" t="s">
        <v>67</v>
      </c>
    </row>
    <row r="199" spans="1:12" x14ac:dyDescent="0.2">
      <c r="A199">
        <v>6988</v>
      </c>
      <c r="B199" t="s">
        <v>11</v>
      </c>
      <c r="C199" t="s">
        <v>12</v>
      </c>
      <c r="D199" t="s">
        <v>12</v>
      </c>
      <c r="E199">
        <v>0</v>
      </c>
      <c r="F199" t="s">
        <v>13</v>
      </c>
      <c r="G199" t="s">
        <v>402</v>
      </c>
      <c r="H199" t="s">
        <v>14</v>
      </c>
      <c r="I199" t="s">
        <v>130</v>
      </c>
      <c r="J199" t="s">
        <v>23</v>
      </c>
      <c r="K199" t="s">
        <v>37</v>
      </c>
      <c r="L199" t="s">
        <v>66</v>
      </c>
    </row>
    <row r="200" spans="1:12" x14ac:dyDescent="0.2">
      <c r="A200">
        <v>10151</v>
      </c>
      <c r="B200" t="s">
        <v>11</v>
      </c>
      <c r="C200" t="s">
        <v>12</v>
      </c>
      <c r="D200" t="s">
        <v>12</v>
      </c>
      <c r="E200">
        <v>0</v>
      </c>
      <c r="F200" t="s">
        <v>13</v>
      </c>
      <c r="G200" t="s">
        <v>391</v>
      </c>
      <c r="H200" t="s">
        <v>14</v>
      </c>
      <c r="I200" t="s">
        <v>390</v>
      </c>
      <c r="J200" t="s">
        <v>25</v>
      </c>
      <c r="K200" t="s">
        <v>17</v>
      </c>
      <c r="L200" t="s">
        <v>31</v>
      </c>
    </row>
    <row r="201" spans="1:12" x14ac:dyDescent="0.2">
      <c r="A201">
        <v>6168</v>
      </c>
      <c r="B201" t="s">
        <v>11</v>
      </c>
      <c r="C201" t="s">
        <v>12</v>
      </c>
      <c r="D201" t="s">
        <v>20</v>
      </c>
      <c r="E201">
        <v>1</v>
      </c>
      <c r="F201" t="s">
        <v>381</v>
      </c>
      <c r="G201" t="s">
        <v>391</v>
      </c>
      <c r="H201" t="s">
        <v>36</v>
      </c>
      <c r="I201" t="s">
        <v>390</v>
      </c>
      <c r="J201" t="s">
        <v>23</v>
      </c>
      <c r="K201" t="s">
        <v>17</v>
      </c>
      <c r="L201" t="s">
        <v>390</v>
      </c>
    </row>
    <row r="202" spans="1:12" x14ac:dyDescent="0.2">
      <c r="A202">
        <v>777</v>
      </c>
      <c r="B202" t="s">
        <v>11</v>
      </c>
      <c r="C202" t="s">
        <v>12</v>
      </c>
      <c r="D202" t="s">
        <v>12</v>
      </c>
      <c r="E202">
        <v>0</v>
      </c>
      <c r="F202" t="s">
        <v>13</v>
      </c>
      <c r="G202" t="s">
        <v>391</v>
      </c>
      <c r="H202" t="s">
        <v>14</v>
      </c>
      <c r="I202" t="s">
        <v>50</v>
      </c>
      <c r="J202" t="s">
        <v>51</v>
      </c>
      <c r="K202" t="s">
        <v>26</v>
      </c>
      <c r="L202" t="s">
        <v>58</v>
      </c>
    </row>
    <row r="203" spans="1:12" x14ac:dyDescent="0.2">
      <c r="A203">
        <v>2522</v>
      </c>
      <c r="B203" t="s">
        <v>11</v>
      </c>
      <c r="C203" t="s">
        <v>12</v>
      </c>
      <c r="D203" t="s">
        <v>12</v>
      </c>
      <c r="E203">
        <v>0</v>
      </c>
      <c r="F203" t="s">
        <v>13</v>
      </c>
      <c r="G203" t="s">
        <v>391</v>
      </c>
      <c r="H203" t="s">
        <v>28</v>
      </c>
      <c r="I203" t="s">
        <v>78</v>
      </c>
      <c r="J203" t="s">
        <v>30</v>
      </c>
      <c r="K203" t="s">
        <v>26</v>
      </c>
      <c r="L203" t="s">
        <v>74</v>
      </c>
    </row>
    <row r="204" spans="1:12" x14ac:dyDescent="0.2">
      <c r="A204">
        <v>1485</v>
      </c>
      <c r="B204" t="s">
        <v>11</v>
      </c>
      <c r="C204" t="s">
        <v>12</v>
      </c>
      <c r="D204" t="s">
        <v>12</v>
      </c>
      <c r="E204">
        <v>0</v>
      </c>
      <c r="F204" t="s">
        <v>13</v>
      </c>
      <c r="G204" t="s">
        <v>391</v>
      </c>
      <c r="H204" t="s">
        <v>14</v>
      </c>
      <c r="I204" t="s">
        <v>390</v>
      </c>
      <c r="J204" t="s">
        <v>36</v>
      </c>
      <c r="K204" t="s">
        <v>47</v>
      </c>
      <c r="L204" t="s">
        <v>35</v>
      </c>
    </row>
    <row r="205" spans="1:12" x14ac:dyDescent="0.2">
      <c r="A205">
        <v>9447</v>
      </c>
      <c r="B205" t="s">
        <v>11</v>
      </c>
      <c r="C205" t="s">
        <v>12</v>
      </c>
      <c r="D205" t="s">
        <v>12</v>
      </c>
      <c r="E205">
        <v>0</v>
      </c>
      <c r="F205" t="s">
        <v>13</v>
      </c>
      <c r="G205" t="s">
        <v>391</v>
      </c>
      <c r="H205" t="s">
        <v>28</v>
      </c>
      <c r="I205" t="s">
        <v>24</v>
      </c>
      <c r="J205" t="s">
        <v>25</v>
      </c>
      <c r="K205" t="s">
        <v>37</v>
      </c>
      <c r="L205" t="s">
        <v>131</v>
      </c>
    </row>
    <row r="206" spans="1:12" x14ac:dyDescent="0.2">
      <c r="A206">
        <v>4865</v>
      </c>
      <c r="B206" t="s">
        <v>11</v>
      </c>
      <c r="C206" t="s">
        <v>19</v>
      </c>
      <c r="D206" t="s">
        <v>19</v>
      </c>
      <c r="E206">
        <v>0</v>
      </c>
      <c r="F206" t="s">
        <v>382</v>
      </c>
      <c r="G206" t="s">
        <v>391</v>
      </c>
      <c r="H206" t="s">
        <v>21</v>
      </c>
      <c r="I206" t="s">
        <v>80</v>
      </c>
      <c r="J206" t="s">
        <v>23</v>
      </c>
      <c r="K206" t="s">
        <v>33</v>
      </c>
      <c r="L206" t="s">
        <v>52</v>
      </c>
    </row>
    <row r="207" spans="1:12" x14ac:dyDescent="0.2">
      <c r="A207">
        <v>5800</v>
      </c>
      <c r="B207" t="s">
        <v>11</v>
      </c>
      <c r="C207" t="s">
        <v>19</v>
      </c>
      <c r="D207" t="s">
        <v>19</v>
      </c>
      <c r="E207">
        <v>0</v>
      </c>
      <c r="F207" t="s">
        <v>13</v>
      </c>
      <c r="G207" t="s">
        <v>36</v>
      </c>
      <c r="H207" t="s">
        <v>21</v>
      </c>
      <c r="I207" t="s">
        <v>132</v>
      </c>
      <c r="J207" t="s">
        <v>30</v>
      </c>
      <c r="K207" t="s">
        <v>17</v>
      </c>
      <c r="L207" t="s">
        <v>62</v>
      </c>
    </row>
    <row r="208" spans="1:12" x14ac:dyDescent="0.2">
      <c r="A208">
        <v>5476</v>
      </c>
      <c r="B208" t="s">
        <v>11</v>
      </c>
      <c r="C208" t="s">
        <v>12</v>
      </c>
      <c r="D208" t="s">
        <v>12</v>
      </c>
      <c r="E208">
        <v>0</v>
      </c>
      <c r="F208" t="s">
        <v>32</v>
      </c>
      <c r="G208" t="s">
        <v>391</v>
      </c>
      <c r="H208" t="s">
        <v>14</v>
      </c>
      <c r="I208" t="s">
        <v>390</v>
      </c>
      <c r="J208" t="s">
        <v>23</v>
      </c>
      <c r="K208" t="s">
        <v>47</v>
      </c>
      <c r="L208" t="s">
        <v>35</v>
      </c>
    </row>
    <row r="209" spans="1:12" x14ac:dyDescent="0.2">
      <c r="A209">
        <v>6315</v>
      </c>
      <c r="B209" t="s">
        <v>11</v>
      </c>
      <c r="C209" t="s">
        <v>19</v>
      </c>
      <c r="D209" t="s">
        <v>19</v>
      </c>
      <c r="E209">
        <v>0</v>
      </c>
      <c r="F209" t="s">
        <v>382</v>
      </c>
      <c r="G209" t="s">
        <v>391</v>
      </c>
      <c r="H209" t="s">
        <v>21</v>
      </c>
      <c r="I209" t="s">
        <v>390</v>
      </c>
      <c r="J209" t="s">
        <v>23</v>
      </c>
      <c r="K209" t="s">
        <v>17</v>
      </c>
      <c r="L209" t="s">
        <v>35</v>
      </c>
    </row>
    <row r="210" spans="1:12" x14ac:dyDescent="0.2">
      <c r="A210">
        <v>8159</v>
      </c>
      <c r="B210" t="s">
        <v>11</v>
      </c>
      <c r="C210" t="s">
        <v>12</v>
      </c>
      <c r="D210" t="s">
        <v>12</v>
      </c>
      <c r="E210">
        <v>0</v>
      </c>
      <c r="F210" t="s">
        <v>13</v>
      </c>
      <c r="G210" t="s">
        <v>391</v>
      </c>
      <c r="H210" t="s">
        <v>28</v>
      </c>
      <c r="I210" t="s">
        <v>61</v>
      </c>
      <c r="J210" t="s">
        <v>30</v>
      </c>
      <c r="K210" t="s">
        <v>63</v>
      </c>
      <c r="L210" t="s">
        <v>125</v>
      </c>
    </row>
    <row r="211" spans="1:12" x14ac:dyDescent="0.2">
      <c r="A211">
        <v>1975</v>
      </c>
      <c r="B211" t="s">
        <v>11</v>
      </c>
      <c r="C211" t="s">
        <v>12</v>
      </c>
      <c r="D211" t="s">
        <v>12</v>
      </c>
      <c r="E211">
        <v>0</v>
      </c>
      <c r="F211" t="s">
        <v>13</v>
      </c>
      <c r="G211" t="s">
        <v>391</v>
      </c>
      <c r="H211" t="s">
        <v>28</v>
      </c>
      <c r="I211" t="s">
        <v>68</v>
      </c>
      <c r="J211" t="s">
        <v>42</v>
      </c>
      <c r="K211" t="s">
        <v>26</v>
      </c>
      <c r="L211" t="s">
        <v>133</v>
      </c>
    </row>
    <row r="212" spans="1:12" x14ac:dyDescent="0.2">
      <c r="A212">
        <v>3570</v>
      </c>
      <c r="B212" t="s">
        <v>11</v>
      </c>
      <c r="C212" t="s">
        <v>19</v>
      </c>
      <c r="D212" t="s">
        <v>20</v>
      </c>
      <c r="E212">
        <v>1</v>
      </c>
      <c r="F212" t="s">
        <v>381</v>
      </c>
      <c r="G212" t="s">
        <v>391</v>
      </c>
      <c r="H212" t="s">
        <v>21</v>
      </c>
      <c r="I212" t="s">
        <v>29</v>
      </c>
      <c r="J212" t="s">
        <v>30</v>
      </c>
      <c r="K212" t="s">
        <v>17</v>
      </c>
      <c r="L212" t="s">
        <v>17</v>
      </c>
    </row>
    <row r="213" spans="1:12" x14ac:dyDescent="0.2">
      <c r="A213">
        <v>10182</v>
      </c>
      <c r="B213" t="s">
        <v>11</v>
      </c>
      <c r="C213" t="s">
        <v>12</v>
      </c>
      <c r="D213" t="s">
        <v>12</v>
      </c>
      <c r="E213">
        <v>0</v>
      </c>
      <c r="F213" t="s">
        <v>13</v>
      </c>
      <c r="G213" t="s">
        <v>391</v>
      </c>
      <c r="H213" t="s">
        <v>28</v>
      </c>
      <c r="I213" t="s">
        <v>24</v>
      </c>
      <c r="J213" t="s">
        <v>25</v>
      </c>
      <c r="K213" t="s">
        <v>26</v>
      </c>
      <c r="L213" t="s">
        <v>67</v>
      </c>
    </row>
    <row r="214" spans="1:12" x14ac:dyDescent="0.2">
      <c r="A214">
        <v>3377</v>
      </c>
      <c r="B214" t="s">
        <v>11</v>
      </c>
      <c r="C214" t="s">
        <v>12</v>
      </c>
      <c r="D214" t="s">
        <v>12</v>
      </c>
      <c r="E214">
        <v>0</v>
      </c>
      <c r="F214" t="s">
        <v>13</v>
      </c>
      <c r="G214" t="s">
        <v>391</v>
      </c>
      <c r="H214" t="s">
        <v>14</v>
      </c>
      <c r="I214" t="s">
        <v>82</v>
      </c>
      <c r="J214" t="s">
        <v>51</v>
      </c>
      <c r="K214" t="s">
        <v>17</v>
      </c>
      <c r="L214" t="s">
        <v>134</v>
      </c>
    </row>
    <row r="215" spans="1:12" x14ac:dyDescent="0.2">
      <c r="A215">
        <v>264</v>
      </c>
      <c r="B215" t="s">
        <v>11</v>
      </c>
      <c r="C215" t="s">
        <v>19</v>
      </c>
      <c r="D215" t="s">
        <v>19</v>
      </c>
      <c r="E215">
        <v>0</v>
      </c>
      <c r="F215" t="s">
        <v>382</v>
      </c>
      <c r="G215" t="s">
        <v>391</v>
      </c>
      <c r="H215" t="s">
        <v>21</v>
      </c>
      <c r="I215" t="s">
        <v>130</v>
      </c>
      <c r="J215" t="s">
        <v>23</v>
      </c>
      <c r="K215" t="s">
        <v>37</v>
      </c>
      <c r="L215" t="s">
        <v>135</v>
      </c>
    </row>
    <row r="216" spans="1:12" x14ac:dyDescent="0.2">
      <c r="A216">
        <v>6613</v>
      </c>
      <c r="B216" t="s">
        <v>11</v>
      </c>
      <c r="C216" t="s">
        <v>12</v>
      </c>
      <c r="D216" t="s">
        <v>12</v>
      </c>
      <c r="E216">
        <v>0</v>
      </c>
      <c r="F216" t="s">
        <v>382</v>
      </c>
      <c r="G216" t="s">
        <v>391</v>
      </c>
      <c r="H216" t="s">
        <v>56</v>
      </c>
      <c r="I216" t="s">
        <v>390</v>
      </c>
      <c r="J216" t="s">
        <v>55</v>
      </c>
      <c r="K216" t="s">
        <v>33</v>
      </c>
      <c r="L216" t="s">
        <v>52</v>
      </c>
    </row>
    <row r="217" spans="1:12" x14ac:dyDescent="0.2">
      <c r="A217">
        <v>7995</v>
      </c>
      <c r="B217" t="s">
        <v>11</v>
      </c>
      <c r="C217" t="s">
        <v>19</v>
      </c>
      <c r="D217" t="s">
        <v>19</v>
      </c>
      <c r="E217">
        <v>0</v>
      </c>
      <c r="F217" t="s">
        <v>382</v>
      </c>
      <c r="G217" t="s">
        <v>36</v>
      </c>
      <c r="H217" t="s">
        <v>21</v>
      </c>
      <c r="I217" t="s">
        <v>49</v>
      </c>
      <c r="J217" t="s">
        <v>16</v>
      </c>
      <c r="K217" t="s">
        <v>63</v>
      </c>
      <c r="L217" t="s">
        <v>136</v>
      </c>
    </row>
    <row r="218" spans="1:12" x14ac:dyDescent="0.2">
      <c r="A218">
        <v>6971</v>
      </c>
      <c r="B218" t="s">
        <v>11</v>
      </c>
      <c r="C218" t="s">
        <v>12</v>
      </c>
      <c r="D218" t="s">
        <v>12</v>
      </c>
      <c r="E218">
        <v>0</v>
      </c>
      <c r="F218" t="s">
        <v>13</v>
      </c>
      <c r="G218" t="s">
        <v>402</v>
      </c>
      <c r="H218" t="s">
        <v>44</v>
      </c>
      <c r="I218" t="s">
        <v>85</v>
      </c>
      <c r="J218" t="s">
        <v>16</v>
      </c>
      <c r="K218" t="s">
        <v>26</v>
      </c>
      <c r="L218" t="s">
        <v>70</v>
      </c>
    </row>
    <row r="219" spans="1:12" x14ac:dyDescent="0.2">
      <c r="A219">
        <v>4653</v>
      </c>
      <c r="B219" t="s">
        <v>11</v>
      </c>
      <c r="C219" t="s">
        <v>12</v>
      </c>
      <c r="D219" t="s">
        <v>12</v>
      </c>
      <c r="E219">
        <v>0</v>
      </c>
      <c r="F219" t="s">
        <v>13</v>
      </c>
      <c r="G219" t="s">
        <v>36</v>
      </c>
      <c r="H219" t="s">
        <v>28</v>
      </c>
      <c r="I219" t="s">
        <v>24</v>
      </c>
      <c r="J219" t="s">
        <v>25</v>
      </c>
      <c r="K219" t="s">
        <v>37</v>
      </c>
      <c r="L219" t="s">
        <v>74</v>
      </c>
    </row>
    <row r="220" spans="1:12" x14ac:dyDescent="0.2">
      <c r="A220">
        <v>4335</v>
      </c>
      <c r="B220" t="s">
        <v>11</v>
      </c>
      <c r="C220" t="s">
        <v>12</v>
      </c>
      <c r="D220" t="s">
        <v>12</v>
      </c>
      <c r="E220">
        <v>0</v>
      </c>
      <c r="F220" t="s">
        <v>13</v>
      </c>
      <c r="G220" t="s">
        <v>391</v>
      </c>
      <c r="H220" t="s">
        <v>44</v>
      </c>
      <c r="I220" t="s">
        <v>29</v>
      </c>
      <c r="J220" t="s">
        <v>30</v>
      </c>
      <c r="K220" t="s">
        <v>37</v>
      </c>
      <c r="L220" t="s">
        <v>137</v>
      </c>
    </row>
    <row r="221" spans="1:12" x14ac:dyDescent="0.2">
      <c r="A221">
        <v>1915</v>
      </c>
      <c r="B221" t="s">
        <v>11</v>
      </c>
      <c r="C221" t="s">
        <v>12</v>
      </c>
      <c r="D221" t="s">
        <v>12</v>
      </c>
      <c r="E221">
        <v>0</v>
      </c>
      <c r="F221" t="s">
        <v>13</v>
      </c>
      <c r="G221" t="s">
        <v>391</v>
      </c>
      <c r="H221" t="s">
        <v>14</v>
      </c>
      <c r="I221" t="s">
        <v>78</v>
      </c>
      <c r="J221" t="s">
        <v>30</v>
      </c>
      <c r="K221" t="s">
        <v>17</v>
      </c>
      <c r="L221" t="s">
        <v>72</v>
      </c>
    </row>
    <row r="222" spans="1:12" x14ac:dyDescent="0.2">
      <c r="A222">
        <v>8852</v>
      </c>
      <c r="B222" t="s">
        <v>11</v>
      </c>
      <c r="C222" t="s">
        <v>12</v>
      </c>
      <c r="D222" t="s">
        <v>12</v>
      </c>
      <c r="E222">
        <v>0</v>
      </c>
      <c r="F222" t="s">
        <v>13</v>
      </c>
      <c r="G222" t="s">
        <v>391</v>
      </c>
      <c r="H222" t="s">
        <v>28</v>
      </c>
      <c r="I222" t="s">
        <v>57</v>
      </c>
      <c r="J222" t="s">
        <v>30</v>
      </c>
      <c r="K222" t="s">
        <v>33</v>
      </c>
      <c r="L222" t="s">
        <v>33</v>
      </c>
    </row>
    <row r="223" spans="1:12" x14ac:dyDescent="0.2">
      <c r="A223">
        <v>3273</v>
      </c>
      <c r="B223" t="s">
        <v>11</v>
      </c>
      <c r="C223" t="s">
        <v>12</v>
      </c>
      <c r="D223" t="s">
        <v>12</v>
      </c>
      <c r="E223">
        <v>0</v>
      </c>
      <c r="F223" t="s">
        <v>32</v>
      </c>
      <c r="G223" t="s">
        <v>391</v>
      </c>
      <c r="H223" t="s">
        <v>28</v>
      </c>
      <c r="I223" t="s">
        <v>50</v>
      </c>
      <c r="J223" t="s">
        <v>51</v>
      </c>
      <c r="K223" t="s">
        <v>33</v>
      </c>
      <c r="L223" t="s">
        <v>33</v>
      </c>
    </row>
    <row r="224" spans="1:12" x14ac:dyDescent="0.2">
      <c r="A224">
        <v>5296</v>
      </c>
      <c r="B224" t="s">
        <v>11</v>
      </c>
      <c r="C224" t="s">
        <v>12</v>
      </c>
      <c r="D224" t="s">
        <v>12</v>
      </c>
      <c r="E224">
        <v>0</v>
      </c>
      <c r="F224" t="s">
        <v>13</v>
      </c>
      <c r="G224" t="s">
        <v>391</v>
      </c>
      <c r="H224" t="s">
        <v>28</v>
      </c>
      <c r="I224" t="s">
        <v>61</v>
      </c>
      <c r="J224" t="s">
        <v>30</v>
      </c>
      <c r="K224" t="s">
        <v>17</v>
      </c>
      <c r="L224" t="s">
        <v>138</v>
      </c>
    </row>
    <row r="225" spans="1:12" x14ac:dyDescent="0.2">
      <c r="A225">
        <v>4746</v>
      </c>
      <c r="B225" t="s">
        <v>11</v>
      </c>
      <c r="C225" t="s">
        <v>12</v>
      </c>
      <c r="D225" t="s">
        <v>12</v>
      </c>
      <c r="E225">
        <v>0</v>
      </c>
      <c r="F225" t="s">
        <v>32</v>
      </c>
      <c r="G225" t="s">
        <v>391</v>
      </c>
      <c r="H225" t="s">
        <v>14</v>
      </c>
      <c r="I225" t="s">
        <v>45</v>
      </c>
      <c r="J225" t="s">
        <v>42</v>
      </c>
      <c r="K225" t="s">
        <v>33</v>
      </c>
      <c r="L225" t="s">
        <v>34</v>
      </c>
    </row>
    <row r="226" spans="1:12" x14ac:dyDescent="0.2">
      <c r="A226">
        <v>5403</v>
      </c>
      <c r="B226" t="s">
        <v>11</v>
      </c>
      <c r="C226" t="s">
        <v>19</v>
      </c>
      <c r="D226" t="s">
        <v>20</v>
      </c>
      <c r="E226">
        <v>1</v>
      </c>
      <c r="F226" t="s">
        <v>381</v>
      </c>
      <c r="G226" t="s">
        <v>391</v>
      </c>
      <c r="H226" t="s">
        <v>21</v>
      </c>
      <c r="I226" t="s">
        <v>82</v>
      </c>
      <c r="J226" t="s">
        <v>51</v>
      </c>
      <c r="K226" t="s">
        <v>55</v>
      </c>
      <c r="L226" t="s">
        <v>390</v>
      </c>
    </row>
    <row r="227" spans="1:12" x14ac:dyDescent="0.2">
      <c r="A227">
        <v>9506</v>
      </c>
      <c r="B227" t="s">
        <v>11</v>
      </c>
      <c r="C227" t="s">
        <v>12</v>
      </c>
      <c r="D227" t="s">
        <v>12</v>
      </c>
      <c r="E227">
        <v>0</v>
      </c>
      <c r="F227" t="s">
        <v>13</v>
      </c>
      <c r="G227" t="s">
        <v>36</v>
      </c>
      <c r="H227" t="s">
        <v>14</v>
      </c>
      <c r="I227" t="s">
        <v>84</v>
      </c>
      <c r="J227" t="s">
        <v>30</v>
      </c>
      <c r="K227" t="s">
        <v>54</v>
      </c>
      <c r="L227" t="s">
        <v>109</v>
      </c>
    </row>
    <row r="228" spans="1:12" x14ac:dyDescent="0.2">
      <c r="A228">
        <v>2335</v>
      </c>
      <c r="B228" t="s">
        <v>11</v>
      </c>
      <c r="C228" t="s">
        <v>12</v>
      </c>
      <c r="D228" t="s">
        <v>12</v>
      </c>
      <c r="E228">
        <v>0</v>
      </c>
      <c r="F228" t="s">
        <v>382</v>
      </c>
      <c r="G228" t="s">
        <v>391</v>
      </c>
      <c r="H228" t="s">
        <v>28</v>
      </c>
      <c r="I228" t="s">
        <v>61</v>
      </c>
      <c r="J228" t="s">
        <v>30</v>
      </c>
      <c r="K228" t="s">
        <v>83</v>
      </c>
      <c r="L228" t="s">
        <v>139</v>
      </c>
    </row>
    <row r="229" spans="1:12" x14ac:dyDescent="0.2">
      <c r="A229">
        <v>10168</v>
      </c>
      <c r="B229" t="s">
        <v>11</v>
      </c>
      <c r="C229" t="s">
        <v>12</v>
      </c>
      <c r="D229" t="s">
        <v>12</v>
      </c>
      <c r="E229">
        <v>0</v>
      </c>
      <c r="F229" t="s">
        <v>13</v>
      </c>
      <c r="G229" t="s">
        <v>428</v>
      </c>
      <c r="H229" t="s">
        <v>28</v>
      </c>
      <c r="I229" t="s">
        <v>24</v>
      </c>
      <c r="J229" t="s">
        <v>25</v>
      </c>
      <c r="K229" t="s">
        <v>37</v>
      </c>
      <c r="L229" t="s">
        <v>37</v>
      </c>
    </row>
    <row r="230" spans="1:12" x14ac:dyDescent="0.2">
      <c r="A230">
        <v>6291</v>
      </c>
      <c r="B230" t="s">
        <v>11</v>
      </c>
      <c r="C230" t="s">
        <v>12</v>
      </c>
      <c r="D230" t="s">
        <v>12</v>
      </c>
      <c r="E230">
        <v>0</v>
      </c>
      <c r="F230" t="s">
        <v>32</v>
      </c>
      <c r="G230" t="s">
        <v>391</v>
      </c>
      <c r="H230" t="s">
        <v>14</v>
      </c>
      <c r="I230" t="s">
        <v>390</v>
      </c>
      <c r="J230" t="s">
        <v>23</v>
      </c>
      <c r="K230" t="s">
        <v>47</v>
      </c>
      <c r="L230" t="s">
        <v>35</v>
      </c>
    </row>
    <row r="231" spans="1:12" x14ac:dyDescent="0.2">
      <c r="A231">
        <v>2197</v>
      </c>
      <c r="B231" t="s">
        <v>11</v>
      </c>
      <c r="C231" t="s">
        <v>19</v>
      </c>
      <c r="D231" t="s">
        <v>12</v>
      </c>
      <c r="E231">
        <v>1</v>
      </c>
      <c r="F231" t="s">
        <v>13</v>
      </c>
      <c r="G231" t="s">
        <v>391</v>
      </c>
      <c r="H231" t="s">
        <v>21</v>
      </c>
      <c r="I231" t="s">
        <v>390</v>
      </c>
      <c r="J231" t="s">
        <v>55</v>
      </c>
      <c r="K231" t="s">
        <v>17</v>
      </c>
      <c r="L231" t="s">
        <v>17</v>
      </c>
    </row>
    <row r="232" spans="1:12" x14ac:dyDescent="0.2">
      <c r="A232">
        <v>9768</v>
      </c>
      <c r="B232" t="s">
        <v>11</v>
      </c>
      <c r="C232" t="s">
        <v>12</v>
      </c>
      <c r="D232" t="s">
        <v>12</v>
      </c>
      <c r="E232">
        <v>0</v>
      </c>
      <c r="F232" t="s">
        <v>13</v>
      </c>
      <c r="G232" t="s">
        <v>391</v>
      </c>
      <c r="H232" t="s">
        <v>28</v>
      </c>
      <c r="I232" t="s">
        <v>24</v>
      </c>
      <c r="J232" t="s">
        <v>25</v>
      </c>
      <c r="K232" t="s">
        <v>37</v>
      </c>
      <c r="L232" t="s">
        <v>53</v>
      </c>
    </row>
    <row r="233" spans="1:12" x14ac:dyDescent="0.2">
      <c r="A233">
        <v>3522</v>
      </c>
      <c r="B233" t="s">
        <v>11</v>
      </c>
      <c r="C233" t="s">
        <v>12</v>
      </c>
      <c r="D233" t="s">
        <v>12</v>
      </c>
      <c r="E233">
        <v>0</v>
      </c>
      <c r="F233" t="s">
        <v>13</v>
      </c>
      <c r="G233" t="s">
        <v>36</v>
      </c>
      <c r="H233" t="s">
        <v>28</v>
      </c>
      <c r="I233" t="s">
        <v>29</v>
      </c>
      <c r="J233" t="s">
        <v>30</v>
      </c>
      <c r="K233" t="s">
        <v>37</v>
      </c>
      <c r="L233" t="s">
        <v>53</v>
      </c>
    </row>
    <row r="234" spans="1:12" x14ac:dyDescent="0.2">
      <c r="A234">
        <v>9444</v>
      </c>
      <c r="B234" t="s">
        <v>11</v>
      </c>
      <c r="C234" t="s">
        <v>12</v>
      </c>
      <c r="D234" t="s">
        <v>12</v>
      </c>
      <c r="E234">
        <v>0</v>
      </c>
      <c r="F234" t="s">
        <v>13</v>
      </c>
      <c r="G234" t="s">
        <v>391</v>
      </c>
      <c r="H234" t="s">
        <v>28</v>
      </c>
      <c r="I234" t="s">
        <v>24</v>
      </c>
      <c r="J234" t="s">
        <v>25</v>
      </c>
      <c r="K234" t="s">
        <v>37</v>
      </c>
      <c r="L234" t="s">
        <v>140</v>
      </c>
    </row>
    <row r="235" spans="1:12" x14ac:dyDescent="0.2">
      <c r="A235">
        <v>1170</v>
      </c>
      <c r="B235" t="s">
        <v>11</v>
      </c>
      <c r="C235" t="s">
        <v>19</v>
      </c>
      <c r="D235" t="s">
        <v>20</v>
      </c>
      <c r="E235">
        <v>1</v>
      </c>
      <c r="F235" t="s">
        <v>381</v>
      </c>
      <c r="G235" t="s">
        <v>391</v>
      </c>
      <c r="H235" t="s">
        <v>36</v>
      </c>
      <c r="I235" t="s">
        <v>79</v>
      </c>
      <c r="J235" t="s">
        <v>23</v>
      </c>
      <c r="K235" t="s">
        <v>17</v>
      </c>
      <c r="L235" t="s">
        <v>390</v>
      </c>
    </row>
    <row r="236" spans="1:12" x14ac:dyDescent="0.2">
      <c r="A236">
        <v>5333</v>
      </c>
      <c r="B236" t="s">
        <v>11</v>
      </c>
      <c r="C236" t="s">
        <v>12</v>
      </c>
      <c r="D236" t="s">
        <v>12</v>
      </c>
      <c r="E236">
        <v>0</v>
      </c>
      <c r="F236" t="s">
        <v>32</v>
      </c>
      <c r="G236" t="s">
        <v>391</v>
      </c>
      <c r="H236" t="s">
        <v>14</v>
      </c>
      <c r="I236" t="s">
        <v>81</v>
      </c>
      <c r="J236" t="s">
        <v>42</v>
      </c>
      <c r="K236" t="s">
        <v>33</v>
      </c>
      <c r="L236" t="s">
        <v>34</v>
      </c>
    </row>
    <row r="237" spans="1:12" x14ac:dyDescent="0.2">
      <c r="A237">
        <v>6955</v>
      </c>
      <c r="B237" t="s">
        <v>11</v>
      </c>
      <c r="C237" t="s">
        <v>12</v>
      </c>
      <c r="D237" t="s">
        <v>12</v>
      </c>
      <c r="E237">
        <v>0</v>
      </c>
      <c r="F237" t="s">
        <v>13</v>
      </c>
      <c r="G237" t="s">
        <v>36</v>
      </c>
      <c r="H237" t="s">
        <v>14</v>
      </c>
      <c r="I237" t="s">
        <v>390</v>
      </c>
      <c r="J237" t="s">
        <v>30</v>
      </c>
      <c r="K237" t="s">
        <v>17</v>
      </c>
      <c r="L237" t="s">
        <v>17</v>
      </c>
    </row>
    <row r="238" spans="1:12" x14ac:dyDescent="0.2">
      <c r="A238">
        <v>9452</v>
      </c>
      <c r="B238" t="s">
        <v>11</v>
      </c>
      <c r="C238" t="s">
        <v>12</v>
      </c>
      <c r="D238" t="s">
        <v>12</v>
      </c>
      <c r="E238">
        <v>0</v>
      </c>
      <c r="F238" t="s">
        <v>13</v>
      </c>
      <c r="G238" t="s">
        <v>391</v>
      </c>
      <c r="H238" t="s">
        <v>28</v>
      </c>
      <c r="I238" t="s">
        <v>24</v>
      </c>
      <c r="J238" t="s">
        <v>25</v>
      </c>
      <c r="K238" t="s">
        <v>37</v>
      </c>
      <c r="L238" t="s">
        <v>141</v>
      </c>
    </row>
    <row r="239" spans="1:12" x14ac:dyDescent="0.2">
      <c r="A239">
        <v>5315</v>
      </c>
      <c r="B239" t="s">
        <v>11</v>
      </c>
      <c r="C239" t="s">
        <v>12</v>
      </c>
      <c r="D239" t="s">
        <v>12</v>
      </c>
      <c r="E239">
        <v>0</v>
      </c>
      <c r="F239" t="s">
        <v>13</v>
      </c>
      <c r="G239" t="s">
        <v>391</v>
      </c>
      <c r="H239" t="s">
        <v>28</v>
      </c>
      <c r="I239" t="s">
        <v>61</v>
      </c>
      <c r="J239" t="s">
        <v>30</v>
      </c>
      <c r="K239" t="s">
        <v>26</v>
      </c>
      <c r="L239" t="s">
        <v>142</v>
      </c>
    </row>
    <row r="240" spans="1:12" x14ac:dyDescent="0.2">
      <c r="A240">
        <v>987</v>
      </c>
      <c r="B240" t="s">
        <v>11</v>
      </c>
      <c r="C240" t="s">
        <v>19</v>
      </c>
      <c r="D240" t="s">
        <v>19</v>
      </c>
      <c r="E240">
        <v>0</v>
      </c>
      <c r="F240" t="s">
        <v>382</v>
      </c>
      <c r="G240" t="s">
        <v>402</v>
      </c>
      <c r="H240" t="s">
        <v>21</v>
      </c>
      <c r="I240" t="s">
        <v>390</v>
      </c>
      <c r="J240" t="s">
        <v>51</v>
      </c>
      <c r="K240" t="s">
        <v>37</v>
      </c>
      <c r="L240" t="s">
        <v>53</v>
      </c>
    </row>
    <row r="241" spans="1:12" x14ac:dyDescent="0.2">
      <c r="A241">
        <v>2967</v>
      </c>
      <c r="B241" t="s">
        <v>11</v>
      </c>
      <c r="C241" t="s">
        <v>19</v>
      </c>
      <c r="D241" t="s">
        <v>19</v>
      </c>
      <c r="E241">
        <v>0</v>
      </c>
      <c r="F241" t="s">
        <v>381</v>
      </c>
      <c r="G241" t="s">
        <v>402</v>
      </c>
      <c r="H241" t="s">
        <v>21</v>
      </c>
      <c r="I241" t="s">
        <v>65</v>
      </c>
      <c r="J241" t="s">
        <v>51</v>
      </c>
      <c r="K241" t="s">
        <v>17</v>
      </c>
      <c r="L241" t="s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1"/>
  <sheetViews>
    <sheetView topLeftCell="D1" workbookViewId="0">
      <selection activeCell="I6" sqref="I6"/>
    </sheetView>
  </sheetViews>
  <sheetFormatPr baseColWidth="10" defaultColWidth="8.83203125" defaultRowHeight="15" x14ac:dyDescent="0.2"/>
  <cols>
    <col min="1" max="11" width="25.1640625" customWidth="1"/>
    <col min="12" max="12" width="24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>
        <v>5699</v>
      </c>
      <c r="B2" t="s">
        <v>144</v>
      </c>
      <c r="C2" t="s">
        <v>12</v>
      </c>
      <c r="D2" t="s">
        <v>12</v>
      </c>
      <c r="E2">
        <v>0</v>
      </c>
      <c r="F2" t="s">
        <v>13</v>
      </c>
      <c r="G2" t="s">
        <v>420</v>
      </c>
      <c r="H2" t="s">
        <v>14</v>
      </c>
      <c r="I2" t="s">
        <v>15</v>
      </c>
      <c r="J2" t="s">
        <v>16</v>
      </c>
      <c r="K2" t="s">
        <v>33</v>
      </c>
      <c r="L2" t="s">
        <v>145</v>
      </c>
    </row>
    <row r="3" spans="1:12" x14ac:dyDescent="0.2">
      <c r="A3">
        <v>4699</v>
      </c>
      <c r="B3" t="s">
        <v>144</v>
      </c>
      <c r="C3" t="s">
        <v>19</v>
      </c>
      <c r="D3" t="s">
        <v>20</v>
      </c>
      <c r="E3">
        <v>1</v>
      </c>
      <c r="F3" t="s">
        <v>381</v>
      </c>
      <c r="G3" t="s">
        <v>391</v>
      </c>
      <c r="H3" t="s">
        <v>21</v>
      </c>
      <c r="I3" t="s">
        <v>22</v>
      </c>
      <c r="J3" t="s">
        <v>23</v>
      </c>
      <c r="K3" t="s">
        <v>17</v>
      </c>
      <c r="L3" t="s">
        <v>17</v>
      </c>
    </row>
    <row r="4" spans="1:12" x14ac:dyDescent="0.2">
      <c r="A4">
        <v>9753</v>
      </c>
      <c r="B4" t="s">
        <v>144</v>
      </c>
      <c r="C4" t="s">
        <v>19</v>
      </c>
      <c r="D4" t="s">
        <v>19</v>
      </c>
      <c r="E4">
        <v>0</v>
      </c>
      <c r="F4" t="s">
        <v>382</v>
      </c>
      <c r="G4" t="s">
        <v>420</v>
      </c>
      <c r="H4" t="s">
        <v>21</v>
      </c>
      <c r="I4" t="s">
        <v>24</v>
      </c>
      <c r="J4" t="s">
        <v>25</v>
      </c>
      <c r="K4" t="s">
        <v>26</v>
      </c>
      <c r="L4" t="s">
        <v>146</v>
      </c>
    </row>
    <row r="5" spans="1:12" x14ac:dyDescent="0.2">
      <c r="A5">
        <v>3658</v>
      </c>
      <c r="B5" t="s">
        <v>144</v>
      </c>
      <c r="C5" t="s">
        <v>12</v>
      </c>
      <c r="D5" t="s">
        <v>12</v>
      </c>
      <c r="E5">
        <v>0</v>
      </c>
      <c r="F5" t="s">
        <v>382</v>
      </c>
      <c r="G5" t="s">
        <v>391</v>
      </c>
      <c r="H5" t="s">
        <v>28</v>
      </c>
      <c r="I5" t="s">
        <v>29</v>
      </c>
      <c r="J5" t="s">
        <v>30</v>
      </c>
      <c r="K5" t="s">
        <v>26</v>
      </c>
      <c r="L5" t="s">
        <v>147</v>
      </c>
    </row>
    <row r="6" spans="1:12" x14ac:dyDescent="0.2">
      <c r="A6">
        <v>7316</v>
      </c>
      <c r="B6" t="s">
        <v>144</v>
      </c>
      <c r="C6" t="s">
        <v>12</v>
      </c>
      <c r="D6" t="s">
        <v>12</v>
      </c>
      <c r="E6">
        <v>0</v>
      </c>
      <c r="F6" t="s">
        <v>13</v>
      </c>
      <c r="G6" t="s">
        <v>391</v>
      </c>
      <c r="H6" t="s">
        <v>28</v>
      </c>
      <c r="I6" t="s">
        <v>390</v>
      </c>
      <c r="J6" t="s">
        <v>36</v>
      </c>
      <c r="K6" t="s">
        <v>17</v>
      </c>
      <c r="L6" t="s">
        <v>17</v>
      </c>
    </row>
    <row r="7" spans="1:12" x14ac:dyDescent="0.2">
      <c r="A7">
        <v>3504</v>
      </c>
      <c r="B7" t="s">
        <v>144</v>
      </c>
      <c r="C7" t="s">
        <v>12</v>
      </c>
      <c r="D7" t="s">
        <v>12</v>
      </c>
      <c r="E7">
        <v>0</v>
      </c>
      <c r="F7" t="s">
        <v>32</v>
      </c>
      <c r="G7" t="s">
        <v>391</v>
      </c>
      <c r="H7" t="s">
        <v>14</v>
      </c>
      <c r="I7" t="s">
        <v>61</v>
      </c>
      <c r="J7" t="s">
        <v>30</v>
      </c>
      <c r="K7" t="s">
        <v>33</v>
      </c>
      <c r="L7" t="s">
        <v>47</v>
      </c>
    </row>
    <row r="8" spans="1:12" x14ac:dyDescent="0.2">
      <c r="A8">
        <v>2910</v>
      </c>
      <c r="B8" t="s">
        <v>144</v>
      </c>
      <c r="C8" t="s">
        <v>12</v>
      </c>
      <c r="D8" t="s">
        <v>12</v>
      </c>
      <c r="E8">
        <v>0</v>
      </c>
      <c r="F8" t="s">
        <v>13</v>
      </c>
      <c r="G8" t="s">
        <v>391</v>
      </c>
      <c r="H8" t="s">
        <v>56</v>
      </c>
      <c r="I8" t="s">
        <v>390</v>
      </c>
      <c r="J8" t="s">
        <v>23</v>
      </c>
      <c r="K8" t="s">
        <v>148</v>
      </c>
      <c r="L8" t="s">
        <v>149</v>
      </c>
    </row>
    <row r="9" spans="1:12" x14ac:dyDescent="0.2">
      <c r="A9">
        <v>3227</v>
      </c>
      <c r="B9" t="s">
        <v>144</v>
      </c>
      <c r="C9" t="s">
        <v>12</v>
      </c>
      <c r="D9" t="s">
        <v>12</v>
      </c>
      <c r="E9">
        <v>0</v>
      </c>
      <c r="F9" t="s">
        <v>382</v>
      </c>
      <c r="G9" t="s">
        <v>391</v>
      </c>
      <c r="H9" t="s">
        <v>28</v>
      </c>
      <c r="I9" t="s">
        <v>390</v>
      </c>
      <c r="J9" t="s">
        <v>36</v>
      </c>
      <c r="K9" t="s">
        <v>37</v>
      </c>
      <c r="L9" t="s">
        <v>37</v>
      </c>
    </row>
    <row r="10" spans="1:12" x14ac:dyDescent="0.2">
      <c r="A10">
        <v>5810</v>
      </c>
      <c r="B10" t="s">
        <v>144</v>
      </c>
      <c r="C10" t="s">
        <v>12</v>
      </c>
      <c r="D10" t="s">
        <v>12</v>
      </c>
      <c r="E10">
        <v>0</v>
      </c>
      <c r="F10" t="s">
        <v>382</v>
      </c>
      <c r="G10" t="s">
        <v>391</v>
      </c>
      <c r="H10" t="s">
        <v>14</v>
      </c>
      <c r="I10" t="s">
        <v>38</v>
      </c>
      <c r="J10" t="s">
        <v>23</v>
      </c>
      <c r="K10" t="s">
        <v>39</v>
      </c>
      <c r="L10" t="s">
        <v>150</v>
      </c>
    </row>
    <row r="11" spans="1:12" x14ac:dyDescent="0.2">
      <c r="A11">
        <v>6468</v>
      </c>
      <c r="B11" t="s">
        <v>144</v>
      </c>
      <c r="C11" t="s">
        <v>19</v>
      </c>
      <c r="D11" t="s">
        <v>20</v>
      </c>
      <c r="E11">
        <v>1</v>
      </c>
      <c r="F11" t="s">
        <v>381</v>
      </c>
      <c r="G11" t="s">
        <v>396</v>
      </c>
      <c r="H11" t="s">
        <v>21</v>
      </c>
      <c r="I11" t="s">
        <v>41</v>
      </c>
      <c r="J11" t="s">
        <v>42</v>
      </c>
      <c r="K11" t="s">
        <v>17</v>
      </c>
      <c r="L11" t="s">
        <v>40</v>
      </c>
    </row>
    <row r="12" spans="1:12" x14ac:dyDescent="0.2">
      <c r="A12">
        <v>10180</v>
      </c>
      <c r="B12" t="s">
        <v>144</v>
      </c>
      <c r="C12" t="s">
        <v>12</v>
      </c>
      <c r="D12" t="s">
        <v>12</v>
      </c>
      <c r="E12">
        <v>0</v>
      </c>
      <c r="F12" t="s">
        <v>13</v>
      </c>
      <c r="G12" t="s">
        <v>420</v>
      </c>
      <c r="H12" t="s">
        <v>28</v>
      </c>
      <c r="I12" t="s">
        <v>390</v>
      </c>
      <c r="J12" t="s">
        <v>23</v>
      </c>
      <c r="K12" t="s">
        <v>47</v>
      </c>
      <c r="L12" t="s">
        <v>151</v>
      </c>
    </row>
    <row r="13" spans="1:12" x14ac:dyDescent="0.2">
      <c r="A13">
        <v>7264</v>
      </c>
      <c r="B13" t="s">
        <v>144</v>
      </c>
      <c r="C13" t="s">
        <v>12</v>
      </c>
      <c r="D13" t="s">
        <v>12</v>
      </c>
      <c r="E13">
        <v>0</v>
      </c>
      <c r="F13" t="s">
        <v>382</v>
      </c>
      <c r="G13" t="s">
        <v>404</v>
      </c>
      <c r="H13" t="s">
        <v>28</v>
      </c>
      <c r="I13" t="s">
        <v>45</v>
      </c>
      <c r="J13" t="s">
        <v>16</v>
      </c>
      <c r="K13" t="s">
        <v>39</v>
      </c>
      <c r="L13" t="s">
        <v>145</v>
      </c>
    </row>
    <row r="14" spans="1:12" x14ac:dyDescent="0.2">
      <c r="A14">
        <v>9707</v>
      </c>
      <c r="B14" t="s">
        <v>144</v>
      </c>
      <c r="C14" t="s">
        <v>12</v>
      </c>
      <c r="D14" t="s">
        <v>12</v>
      </c>
      <c r="E14">
        <v>0</v>
      </c>
      <c r="F14" t="s">
        <v>32</v>
      </c>
      <c r="G14" t="s">
        <v>36</v>
      </c>
      <c r="H14" t="s">
        <v>21</v>
      </c>
      <c r="I14" t="s">
        <v>45</v>
      </c>
      <c r="J14" t="s">
        <v>51</v>
      </c>
      <c r="K14" t="s">
        <v>33</v>
      </c>
      <c r="L14" t="s">
        <v>152</v>
      </c>
    </row>
    <row r="15" spans="1:12" x14ac:dyDescent="0.2">
      <c r="A15">
        <v>4866</v>
      </c>
      <c r="B15" t="s">
        <v>144</v>
      </c>
      <c r="C15" t="s">
        <v>12</v>
      </c>
      <c r="D15" t="s">
        <v>12</v>
      </c>
      <c r="E15">
        <v>0</v>
      </c>
      <c r="F15" t="s">
        <v>13</v>
      </c>
      <c r="G15" t="s">
        <v>391</v>
      </c>
      <c r="H15" t="s">
        <v>21</v>
      </c>
      <c r="I15" t="s">
        <v>153</v>
      </c>
      <c r="J15" t="s">
        <v>36</v>
      </c>
      <c r="K15" t="s">
        <v>33</v>
      </c>
      <c r="L15" t="s">
        <v>154</v>
      </c>
    </row>
    <row r="16" spans="1:12" x14ac:dyDescent="0.2">
      <c r="A16">
        <v>3280</v>
      </c>
      <c r="B16" t="s">
        <v>144</v>
      </c>
      <c r="C16" t="s">
        <v>12</v>
      </c>
      <c r="D16" t="s">
        <v>12</v>
      </c>
      <c r="E16">
        <v>0</v>
      </c>
      <c r="F16" t="s">
        <v>32</v>
      </c>
      <c r="G16" t="s">
        <v>391</v>
      </c>
      <c r="H16" t="s">
        <v>28</v>
      </c>
      <c r="I16" t="s">
        <v>50</v>
      </c>
      <c r="J16" t="s">
        <v>51</v>
      </c>
      <c r="K16" t="s">
        <v>33</v>
      </c>
      <c r="L16" t="s">
        <v>155</v>
      </c>
    </row>
    <row r="17" spans="1:12" x14ac:dyDescent="0.2">
      <c r="A17">
        <v>2307</v>
      </c>
      <c r="B17" t="s">
        <v>144</v>
      </c>
      <c r="C17" t="s">
        <v>12</v>
      </c>
      <c r="D17" t="s">
        <v>12</v>
      </c>
      <c r="E17">
        <v>0</v>
      </c>
      <c r="F17" t="s">
        <v>382</v>
      </c>
      <c r="G17" t="s">
        <v>36</v>
      </c>
      <c r="H17" t="s">
        <v>14</v>
      </c>
      <c r="I17" t="s">
        <v>49</v>
      </c>
      <c r="J17" t="s">
        <v>36</v>
      </c>
      <c r="K17" t="s">
        <v>26</v>
      </c>
      <c r="L17" t="s">
        <v>156</v>
      </c>
    </row>
    <row r="18" spans="1:12" x14ac:dyDescent="0.2">
      <c r="A18">
        <v>5174</v>
      </c>
      <c r="B18" t="s">
        <v>144</v>
      </c>
      <c r="C18" t="s">
        <v>12</v>
      </c>
      <c r="D18" t="s">
        <v>12</v>
      </c>
      <c r="E18">
        <v>0</v>
      </c>
      <c r="F18" t="s">
        <v>13</v>
      </c>
      <c r="G18" t="s">
        <v>402</v>
      </c>
      <c r="H18" t="s">
        <v>28</v>
      </c>
      <c r="I18" t="s">
        <v>390</v>
      </c>
      <c r="J18" t="s">
        <v>30</v>
      </c>
      <c r="K18" t="s">
        <v>37</v>
      </c>
      <c r="L18" t="s">
        <v>157</v>
      </c>
    </row>
    <row r="19" spans="1:12" x14ac:dyDescent="0.2">
      <c r="A19">
        <v>5807</v>
      </c>
      <c r="B19" t="s">
        <v>144</v>
      </c>
      <c r="C19" t="s">
        <v>12</v>
      </c>
      <c r="D19" t="s">
        <v>12</v>
      </c>
      <c r="E19">
        <v>0</v>
      </c>
      <c r="F19" t="s">
        <v>382</v>
      </c>
      <c r="G19" t="s">
        <v>402</v>
      </c>
      <c r="H19" t="s">
        <v>36</v>
      </c>
      <c r="I19" t="s">
        <v>390</v>
      </c>
      <c r="J19" t="s">
        <v>30</v>
      </c>
      <c r="K19" t="s">
        <v>54</v>
      </c>
      <c r="L19" t="s">
        <v>17</v>
      </c>
    </row>
    <row r="20" spans="1:12" x14ac:dyDescent="0.2">
      <c r="A20">
        <v>5844</v>
      </c>
      <c r="B20" t="s">
        <v>144</v>
      </c>
      <c r="C20" t="s">
        <v>12</v>
      </c>
      <c r="D20" t="s">
        <v>20</v>
      </c>
      <c r="E20">
        <v>1</v>
      </c>
      <c r="F20" t="s">
        <v>381</v>
      </c>
      <c r="G20" t="s">
        <v>402</v>
      </c>
      <c r="H20" t="s">
        <v>36</v>
      </c>
      <c r="I20" t="s">
        <v>29</v>
      </c>
      <c r="J20" t="s">
        <v>30</v>
      </c>
      <c r="K20" t="s">
        <v>55</v>
      </c>
      <c r="L20" t="s">
        <v>148</v>
      </c>
    </row>
    <row r="21" spans="1:12" x14ac:dyDescent="0.2">
      <c r="A21">
        <v>2969</v>
      </c>
      <c r="B21" t="s">
        <v>144</v>
      </c>
      <c r="C21" t="s">
        <v>12</v>
      </c>
      <c r="D21" t="s">
        <v>12</v>
      </c>
      <c r="E21">
        <v>0</v>
      </c>
      <c r="F21" t="s">
        <v>382</v>
      </c>
      <c r="G21" t="s">
        <v>404</v>
      </c>
      <c r="H21" t="s">
        <v>56</v>
      </c>
      <c r="I21" t="s">
        <v>390</v>
      </c>
      <c r="J21" t="s">
        <v>36</v>
      </c>
      <c r="K21" t="s">
        <v>17</v>
      </c>
      <c r="L21" t="s">
        <v>17</v>
      </c>
    </row>
    <row r="22" spans="1:12" x14ac:dyDescent="0.2">
      <c r="A22">
        <v>8401</v>
      </c>
      <c r="B22" t="s">
        <v>144</v>
      </c>
      <c r="C22" t="s">
        <v>12</v>
      </c>
      <c r="D22" t="s">
        <v>12</v>
      </c>
      <c r="E22">
        <v>0</v>
      </c>
      <c r="F22" t="s">
        <v>32</v>
      </c>
      <c r="G22" t="s">
        <v>391</v>
      </c>
      <c r="H22" t="s">
        <v>28</v>
      </c>
      <c r="I22" t="s">
        <v>57</v>
      </c>
      <c r="J22" t="s">
        <v>30</v>
      </c>
      <c r="K22" t="s">
        <v>26</v>
      </c>
      <c r="L22" t="s">
        <v>34</v>
      </c>
    </row>
    <row r="23" spans="1:12" x14ac:dyDescent="0.2">
      <c r="A23">
        <v>3747</v>
      </c>
      <c r="B23" t="s">
        <v>144</v>
      </c>
      <c r="C23" t="s">
        <v>19</v>
      </c>
      <c r="D23" t="s">
        <v>19</v>
      </c>
      <c r="E23">
        <v>0</v>
      </c>
      <c r="F23" t="s">
        <v>382</v>
      </c>
      <c r="G23" t="s">
        <v>402</v>
      </c>
      <c r="H23" t="s">
        <v>21</v>
      </c>
      <c r="I23" t="s">
        <v>59</v>
      </c>
      <c r="J23" t="s">
        <v>51</v>
      </c>
      <c r="K23" t="s">
        <v>37</v>
      </c>
      <c r="L23" t="s">
        <v>31</v>
      </c>
    </row>
    <row r="24" spans="1:12" x14ac:dyDescent="0.2">
      <c r="A24">
        <v>761</v>
      </c>
      <c r="B24" t="s">
        <v>144</v>
      </c>
      <c r="C24" t="s">
        <v>12</v>
      </c>
      <c r="D24" t="s">
        <v>12</v>
      </c>
      <c r="E24">
        <v>0</v>
      </c>
      <c r="F24" t="s">
        <v>32</v>
      </c>
      <c r="G24" t="s">
        <v>402</v>
      </c>
      <c r="H24" t="s">
        <v>56</v>
      </c>
      <c r="I24" t="s">
        <v>60</v>
      </c>
      <c r="J24" t="s">
        <v>42</v>
      </c>
      <c r="K24" t="s">
        <v>55</v>
      </c>
      <c r="L24" t="s">
        <v>33</v>
      </c>
    </row>
    <row r="25" spans="1:12" x14ac:dyDescent="0.2">
      <c r="A25">
        <v>5344</v>
      </c>
      <c r="B25" t="s">
        <v>144</v>
      </c>
      <c r="C25" t="s">
        <v>12</v>
      </c>
      <c r="D25" t="s">
        <v>12</v>
      </c>
      <c r="E25">
        <v>0</v>
      </c>
      <c r="F25" t="s">
        <v>13</v>
      </c>
      <c r="G25" t="s">
        <v>402</v>
      </c>
      <c r="H25" t="s">
        <v>28</v>
      </c>
      <c r="I25" t="s">
        <v>61</v>
      </c>
      <c r="J25" t="s">
        <v>30</v>
      </c>
      <c r="K25" t="s">
        <v>26</v>
      </c>
      <c r="L25" t="s">
        <v>158</v>
      </c>
    </row>
    <row r="26" spans="1:12" x14ac:dyDescent="0.2">
      <c r="A26">
        <v>729</v>
      </c>
      <c r="B26" t="s">
        <v>144</v>
      </c>
      <c r="C26" t="s">
        <v>12</v>
      </c>
      <c r="D26" t="s">
        <v>20</v>
      </c>
      <c r="E26">
        <v>1</v>
      </c>
      <c r="F26" t="s">
        <v>381</v>
      </c>
      <c r="G26" t="s">
        <v>391</v>
      </c>
      <c r="H26" t="s">
        <v>36</v>
      </c>
      <c r="I26" t="s">
        <v>390</v>
      </c>
      <c r="J26" t="s">
        <v>36</v>
      </c>
      <c r="K26" t="s">
        <v>55</v>
      </c>
      <c r="L26" t="s">
        <v>159</v>
      </c>
    </row>
    <row r="27" spans="1:12" x14ac:dyDescent="0.2">
      <c r="A27">
        <v>2782</v>
      </c>
      <c r="B27" t="s">
        <v>144</v>
      </c>
      <c r="C27" t="s">
        <v>12</v>
      </c>
      <c r="D27" t="s">
        <v>12</v>
      </c>
      <c r="E27">
        <v>0</v>
      </c>
      <c r="F27" t="s">
        <v>13</v>
      </c>
      <c r="G27" t="s">
        <v>402</v>
      </c>
      <c r="H27" t="s">
        <v>56</v>
      </c>
      <c r="I27" t="s">
        <v>390</v>
      </c>
      <c r="J27" t="s">
        <v>23</v>
      </c>
      <c r="K27" t="s">
        <v>17</v>
      </c>
      <c r="L27" t="s">
        <v>34</v>
      </c>
    </row>
    <row r="28" spans="1:12" x14ac:dyDescent="0.2">
      <c r="A28">
        <v>951</v>
      </c>
      <c r="B28" t="s">
        <v>144</v>
      </c>
      <c r="C28" t="s">
        <v>12</v>
      </c>
      <c r="D28" t="s">
        <v>12</v>
      </c>
      <c r="E28">
        <v>0</v>
      </c>
      <c r="F28" t="s">
        <v>13</v>
      </c>
      <c r="G28" t="s">
        <v>420</v>
      </c>
      <c r="H28" t="s">
        <v>44</v>
      </c>
      <c r="I28" t="s">
        <v>45</v>
      </c>
      <c r="J28" t="s">
        <v>51</v>
      </c>
      <c r="K28" t="s">
        <v>83</v>
      </c>
      <c r="L28" t="s">
        <v>160</v>
      </c>
    </row>
    <row r="29" spans="1:12" x14ac:dyDescent="0.2">
      <c r="A29">
        <v>9370</v>
      </c>
      <c r="B29" t="s">
        <v>144</v>
      </c>
      <c r="C29" t="s">
        <v>12</v>
      </c>
      <c r="D29" t="s">
        <v>12</v>
      </c>
      <c r="E29">
        <v>0</v>
      </c>
      <c r="F29" t="s">
        <v>13</v>
      </c>
      <c r="G29" t="s">
        <v>420</v>
      </c>
      <c r="H29" t="s">
        <v>28</v>
      </c>
      <c r="I29" t="s">
        <v>390</v>
      </c>
      <c r="J29" t="s">
        <v>36</v>
      </c>
      <c r="K29" t="s">
        <v>55</v>
      </c>
      <c r="L29" t="s">
        <v>161</v>
      </c>
    </row>
    <row r="30" spans="1:12" x14ac:dyDescent="0.2">
      <c r="A30">
        <v>2937</v>
      </c>
      <c r="B30" t="s">
        <v>144</v>
      </c>
      <c r="C30" t="s">
        <v>12</v>
      </c>
      <c r="D30" t="s">
        <v>19</v>
      </c>
      <c r="E30">
        <v>1</v>
      </c>
      <c r="F30" t="s">
        <v>32</v>
      </c>
      <c r="G30" t="s">
        <v>402</v>
      </c>
      <c r="H30" t="s">
        <v>21</v>
      </c>
      <c r="I30" t="s">
        <v>65</v>
      </c>
      <c r="J30" t="s">
        <v>51</v>
      </c>
      <c r="K30" t="s">
        <v>17</v>
      </c>
      <c r="L30" t="s">
        <v>162</v>
      </c>
    </row>
    <row r="31" spans="1:12" x14ac:dyDescent="0.2">
      <c r="A31">
        <v>4745</v>
      </c>
      <c r="B31" t="s">
        <v>144</v>
      </c>
      <c r="C31" t="s">
        <v>12</v>
      </c>
      <c r="D31" t="s">
        <v>12</v>
      </c>
      <c r="E31">
        <v>0</v>
      </c>
      <c r="F31" t="s">
        <v>32</v>
      </c>
      <c r="G31" t="s">
        <v>391</v>
      </c>
      <c r="H31" t="s">
        <v>21</v>
      </c>
      <c r="I31" t="s">
        <v>45</v>
      </c>
      <c r="J31" t="s">
        <v>51</v>
      </c>
      <c r="K31" t="s">
        <v>47</v>
      </c>
      <c r="L31" t="s">
        <v>163</v>
      </c>
    </row>
    <row r="32" spans="1:12" x14ac:dyDescent="0.2">
      <c r="A32">
        <v>241</v>
      </c>
      <c r="B32" t="s">
        <v>144</v>
      </c>
      <c r="C32" t="s">
        <v>19</v>
      </c>
      <c r="D32" t="s">
        <v>19</v>
      </c>
      <c r="E32">
        <v>0</v>
      </c>
      <c r="F32" t="s">
        <v>382</v>
      </c>
      <c r="G32" t="s">
        <v>420</v>
      </c>
      <c r="H32" t="s">
        <v>21</v>
      </c>
      <c r="I32" t="s">
        <v>118</v>
      </c>
      <c r="J32" t="s">
        <v>25</v>
      </c>
      <c r="K32" t="s">
        <v>37</v>
      </c>
      <c r="L32" t="s">
        <v>164</v>
      </c>
    </row>
    <row r="33" spans="1:12" x14ac:dyDescent="0.2">
      <c r="A33">
        <v>5265</v>
      </c>
      <c r="B33" t="s">
        <v>144</v>
      </c>
      <c r="C33" t="s">
        <v>19</v>
      </c>
      <c r="D33" t="s">
        <v>19</v>
      </c>
      <c r="E33">
        <v>0</v>
      </c>
      <c r="F33" t="s">
        <v>382</v>
      </c>
      <c r="G33" t="s">
        <v>391</v>
      </c>
      <c r="H33" t="s">
        <v>21</v>
      </c>
      <c r="I33" t="s">
        <v>29</v>
      </c>
      <c r="J33" t="s">
        <v>30</v>
      </c>
      <c r="K33" t="s">
        <v>37</v>
      </c>
      <c r="L33" t="s">
        <v>164</v>
      </c>
    </row>
    <row r="34" spans="1:12" x14ac:dyDescent="0.2">
      <c r="A34">
        <v>7256</v>
      </c>
      <c r="B34" t="s">
        <v>144</v>
      </c>
      <c r="C34" t="s">
        <v>19</v>
      </c>
      <c r="D34" t="s">
        <v>19</v>
      </c>
      <c r="E34">
        <v>0</v>
      </c>
      <c r="F34" t="s">
        <v>382</v>
      </c>
      <c r="G34" t="s">
        <v>391</v>
      </c>
      <c r="H34" t="s">
        <v>21</v>
      </c>
      <c r="I34" t="s">
        <v>68</v>
      </c>
      <c r="J34" t="s">
        <v>42</v>
      </c>
      <c r="K34" t="s">
        <v>37</v>
      </c>
      <c r="L34" t="s">
        <v>67</v>
      </c>
    </row>
    <row r="35" spans="1:12" x14ac:dyDescent="0.2">
      <c r="A35">
        <v>6563</v>
      </c>
      <c r="B35" t="s">
        <v>144</v>
      </c>
      <c r="C35" t="s">
        <v>12</v>
      </c>
      <c r="D35" t="s">
        <v>12</v>
      </c>
      <c r="E35">
        <v>0</v>
      </c>
      <c r="F35" t="s">
        <v>32</v>
      </c>
      <c r="G35" t="s">
        <v>391</v>
      </c>
      <c r="H35" t="s">
        <v>56</v>
      </c>
      <c r="I35" t="s">
        <v>390</v>
      </c>
      <c r="J35" t="s">
        <v>36</v>
      </c>
      <c r="K35" t="s">
        <v>148</v>
      </c>
      <c r="L35" t="s">
        <v>165</v>
      </c>
    </row>
    <row r="36" spans="1:12" x14ac:dyDescent="0.2">
      <c r="A36">
        <v>779</v>
      </c>
      <c r="B36" t="s">
        <v>144</v>
      </c>
      <c r="C36" t="s">
        <v>12</v>
      </c>
      <c r="D36" t="s">
        <v>12</v>
      </c>
      <c r="E36">
        <v>0</v>
      </c>
      <c r="F36" t="s">
        <v>13</v>
      </c>
      <c r="G36" t="s">
        <v>391</v>
      </c>
      <c r="H36" t="s">
        <v>36</v>
      </c>
      <c r="I36" t="s">
        <v>390</v>
      </c>
      <c r="J36" t="s">
        <v>55</v>
      </c>
      <c r="K36" t="s">
        <v>26</v>
      </c>
      <c r="L36" t="s">
        <v>166</v>
      </c>
    </row>
    <row r="37" spans="1:12" x14ac:dyDescent="0.2">
      <c r="A37">
        <v>10179</v>
      </c>
      <c r="B37" t="s">
        <v>144</v>
      </c>
      <c r="C37" t="s">
        <v>12</v>
      </c>
      <c r="D37" t="s">
        <v>12</v>
      </c>
      <c r="E37">
        <v>0</v>
      </c>
      <c r="F37" t="s">
        <v>13</v>
      </c>
      <c r="G37" t="s">
        <v>391</v>
      </c>
      <c r="H37" t="s">
        <v>28</v>
      </c>
      <c r="I37" t="s">
        <v>390</v>
      </c>
      <c r="J37" t="s">
        <v>36</v>
      </c>
      <c r="K37" t="s">
        <v>54</v>
      </c>
      <c r="L37" t="s">
        <v>167</v>
      </c>
    </row>
    <row r="38" spans="1:12" x14ac:dyDescent="0.2">
      <c r="A38">
        <v>6588</v>
      </c>
      <c r="B38" t="s">
        <v>144</v>
      </c>
      <c r="C38" t="s">
        <v>12</v>
      </c>
      <c r="D38" t="s">
        <v>12</v>
      </c>
      <c r="E38">
        <v>0</v>
      </c>
      <c r="F38" t="s">
        <v>13</v>
      </c>
      <c r="G38" t="s">
        <v>402</v>
      </c>
      <c r="H38" t="s">
        <v>56</v>
      </c>
      <c r="I38" t="s">
        <v>390</v>
      </c>
      <c r="J38" t="s">
        <v>23</v>
      </c>
      <c r="K38" t="s">
        <v>33</v>
      </c>
      <c r="L38" t="s">
        <v>154</v>
      </c>
    </row>
    <row r="39" spans="1:12" x14ac:dyDescent="0.2">
      <c r="A39">
        <v>7805</v>
      </c>
      <c r="B39" t="s">
        <v>144</v>
      </c>
      <c r="C39" t="s">
        <v>12</v>
      </c>
      <c r="D39" t="s">
        <v>12</v>
      </c>
      <c r="E39">
        <v>0</v>
      </c>
      <c r="F39" t="s">
        <v>13</v>
      </c>
      <c r="G39" t="s">
        <v>402</v>
      </c>
      <c r="H39" t="s">
        <v>21</v>
      </c>
      <c r="I39" t="s">
        <v>71</v>
      </c>
      <c r="J39" t="s">
        <v>36</v>
      </c>
      <c r="K39" t="s">
        <v>26</v>
      </c>
      <c r="L39" t="s">
        <v>72</v>
      </c>
    </row>
    <row r="40" spans="1:12" x14ac:dyDescent="0.2">
      <c r="A40">
        <v>2920</v>
      </c>
      <c r="B40" t="s">
        <v>144</v>
      </c>
      <c r="C40" t="s">
        <v>12</v>
      </c>
      <c r="D40" t="s">
        <v>12</v>
      </c>
      <c r="E40">
        <v>0</v>
      </c>
      <c r="F40" t="s">
        <v>32</v>
      </c>
      <c r="G40" t="s">
        <v>420</v>
      </c>
      <c r="H40" t="s">
        <v>21</v>
      </c>
      <c r="I40" t="s">
        <v>73</v>
      </c>
      <c r="J40" t="s">
        <v>25</v>
      </c>
      <c r="K40" t="s">
        <v>17</v>
      </c>
      <c r="L40" t="s">
        <v>159</v>
      </c>
    </row>
    <row r="41" spans="1:12" x14ac:dyDescent="0.2">
      <c r="A41">
        <v>2448</v>
      </c>
      <c r="B41" t="s">
        <v>144</v>
      </c>
      <c r="C41" t="s">
        <v>12</v>
      </c>
      <c r="D41" t="s">
        <v>12</v>
      </c>
      <c r="E41">
        <v>0</v>
      </c>
      <c r="F41" t="s">
        <v>13</v>
      </c>
      <c r="G41" t="s">
        <v>391</v>
      </c>
      <c r="H41" t="s">
        <v>56</v>
      </c>
      <c r="I41" t="s">
        <v>24</v>
      </c>
      <c r="J41" t="s">
        <v>36</v>
      </c>
      <c r="K41" t="s">
        <v>26</v>
      </c>
      <c r="L41" t="s">
        <v>168</v>
      </c>
    </row>
    <row r="42" spans="1:12" x14ac:dyDescent="0.2">
      <c r="A42">
        <v>5371</v>
      </c>
      <c r="B42" t="s">
        <v>144</v>
      </c>
      <c r="C42" t="s">
        <v>12</v>
      </c>
      <c r="D42" t="s">
        <v>12</v>
      </c>
      <c r="E42">
        <v>0</v>
      </c>
      <c r="F42" t="s">
        <v>13</v>
      </c>
      <c r="G42" t="s">
        <v>402</v>
      </c>
      <c r="H42" t="s">
        <v>28</v>
      </c>
      <c r="I42" t="s">
        <v>61</v>
      </c>
      <c r="J42" t="s">
        <v>30</v>
      </c>
      <c r="K42" t="s">
        <v>26</v>
      </c>
      <c r="L42" t="s">
        <v>169</v>
      </c>
    </row>
    <row r="43" spans="1:12" x14ac:dyDescent="0.2">
      <c r="A43">
        <v>2747</v>
      </c>
      <c r="B43" t="s">
        <v>144</v>
      </c>
      <c r="C43" t="s">
        <v>12</v>
      </c>
      <c r="D43" t="s">
        <v>12</v>
      </c>
      <c r="E43">
        <v>0</v>
      </c>
      <c r="F43" t="s">
        <v>32</v>
      </c>
      <c r="G43" t="s">
        <v>428</v>
      </c>
      <c r="H43" t="s">
        <v>21</v>
      </c>
      <c r="I43" t="s">
        <v>45</v>
      </c>
      <c r="J43" t="s">
        <v>51</v>
      </c>
      <c r="K43" t="s">
        <v>148</v>
      </c>
      <c r="L43" t="s">
        <v>170</v>
      </c>
    </row>
    <row r="44" spans="1:12" x14ac:dyDescent="0.2">
      <c r="A44">
        <v>8655</v>
      </c>
      <c r="B44" t="s">
        <v>144</v>
      </c>
      <c r="C44" t="s">
        <v>19</v>
      </c>
      <c r="D44" t="s">
        <v>20</v>
      </c>
      <c r="E44">
        <v>1</v>
      </c>
      <c r="F44" t="s">
        <v>381</v>
      </c>
      <c r="G44" t="s">
        <v>428</v>
      </c>
      <c r="H44" t="s">
        <v>76</v>
      </c>
      <c r="I44" t="s">
        <v>390</v>
      </c>
      <c r="J44" t="s">
        <v>51</v>
      </c>
      <c r="K44" t="s">
        <v>39</v>
      </c>
      <c r="L44" t="s">
        <v>17</v>
      </c>
    </row>
    <row r="45" spans="1:12" x14ac:dyDescent="0.2">
      <c r="A45">
        <v>4607</v>
      </c>
      <c r="B45" t="s">
        <v>144</v>
      </c>
      <c r="C45" t="s">
        <v>19</v>
      </c>
      <c r="D45" t="s">
        <v>19</v>
      </c>
      <c r="E45">
        <v>0</v>
      </c>
      <c r="F45" t="s">
        <v>382</v>
      </c>
      <c r="G45" t="s">
        <v>391</v>
      </c>
      <c r="H45" t="s">
        <v>21</v>
      </c>
      <c r="I45" t="s">
        <v>50</v>
      </c>
      <c r="J45" t="s">
        <v>51</v>
      </c>
      <c r="K45" t="s">
        <v>37</v>
      </c>
      <c r="L45" t="s">
        <v>171</v>
      </c>
    </row>
    <row r="46" spans="1:12" x14ac:dyDescent="0.2">
      <c r="A46">
        <v>1854</v>
      </c>
      <c r="B46" t="s">
        <v>144</v>
      </c>
      <c r="C46" t="s">
        <v>12</v>
      </c>
      <c r="D46" t="s">
        <v>20</v>
      </c>
      <c r="E46">
        <v>1</v>
      </c>
      <c r="F46" t="s">
        <v>381</v>
      </c>
      <c r="G46" t="s">
        <v>391</v>
      </c>
      <c r="H46" t="s">
        <v>36</v>
      </c>
      <c r="I46" t="s">
        <v>15</v>
      </c>
      <c r="J46" t="s">
        <v>16</v>
      </c>
      <c r="K46" t="s">
        <v>17</v>
      </c>
      <c r="L46" t="s">
        <v>17</v>
      </c>
    </row>
    <row r="47" spans="1:12" x14ac:dyDescent="0.2">
      <c r="A47">
        <v>9849</v>
      </c>
      <c r="B47" t="s">
        <v>144</v>
      </c>
      <c r="C47" t="s">
        <v>12</v>
      </c>
      <c r="D47" t="s">
        <v>12</v>
      </c>
      <c r="E47">
        <v>0</v>
      </c>
      <c r="F47" t="s">
        <v>13</v>
      </c>
      <c r="G47" t="s">
        <v>459</v>
      </c>
      <c r="H47" t="s">
        <v>28</v>
      </c>
      <c r="I47" t="s">
        <v>390</v>
      </c>
      <c r="J47" t="s">
        <v>36</v>
      </c>
      <c r="K47" t="s">
        <v>37</v>
      </c>
      <c r="L47" t="s">
        <v>172</v>
      </c>
    </row>
    <row r="48" spans="1:12" x14ac:dyDescent="0.2">
      <c r="A48">
        <v>516</v>
      </c>
      <c r="B48" t="s">
        <v>144</v>
      </c>
      <c r="C48" t="s">
        <v>19</v>
      </c>
      <c r="D48" t="s">
        <v>19</v>
      </c>
      <c r="E48">
        <v>0</v>
      </c>
      <c r="F48" t="s">
        <v>382</v>
      </c>
      <c r="G48" t="s">
        <v>391</v>
      </c>
      <c r="H48" t="s">
        <v>21</v>
      </c>
      <c r="I48" t="s">
        <v>78</v>
      </c>
      <c r="J48" t="s">
        <v>30</v>
      </c>
      <c r="K48" t="s">
        <v>37</v>
      </c>
      <c r="L48" t="s">
        <v>67</v>
      </c>
    </row>
    <row r="49" spans="1:12" x14ac:dyDescent="0.2">
      <c r="A49">
        <v>1289</v>
      </c>
      <c r="B49" t="s">
        <v>144</v>
      </c>
      <c r="C49" t="s">
        <v>19</v>
      </c>
      <c r="D49" t="s">
        <v>19</v>
      </c>
      <c r="E49">
        <v>0</v>
      </c>
      <c r="F49" t="s">
        <v>32</v>
      </c>
      <c r="G49" t="s">
        <v>391</v>
      </c>
      <c r="H49" t="s">
        <v>21</v>
      </c>
      <c r="I49" t="s">
        <v>79</v>
      </c>
      <c r="J49" t="s">
        <v>23</v>
      </c>
      <c r="K49" t="s">
        <v>26</v>
      </c>
      <c r="L49" t="s">
        <v>109</v>
      </c>
    </row>
    <row r="50" spans="1:12" x14ac:dyDescent="0.2">
      <c r="A50">
        <v>8366</v>
      </c>
      <c r="B50" t="s">
        <v>144</v>
      </c>
      <c r="C50" t="s">
        <v>12</v>
      </c>
      <c r="D50" t="s">
        <v>12</v>
      </c>
      <c r="E50">
        <v>0</v>
      </c>
      <c r="F50" t="s">
        <v>13</v>
      </c>
      <c r="G50" t="s">
        <v>402</v>
      </c>
      <c r="H50" t="s">
        <v>56</v>
      </c>
      <c r="I50" t="s">
        <v>390</v>
      </c>
      <c r="J50" t="s">
        <v>30</v>
      </c>
      <c r="K50" t="s">
        <v>17</v>
      </c>
      <c r="L50" t="s">
        <v>98</v>
      </c>
    </row>
    <row r="51" spans="1:12" x14ac:dyDescent="0.2">
      <c r="A51">
        <v>2889</v>
      </c>
      <c r="B51" t="s">
        <v>144</v>
      </c>
      <c r="C51" t="s">
        <v>12</v>
      </c>
      <c r="D51" t="s">
        <v>12</v>
      </c>
      <c r="E51">
        <v>0</v>
      </c>
      <c r="F51" t="s">
        <v>32</v>
      </c>
      <c r="G51" t="s">
        <v>391</v>
      </c>
      <c r="H51" t="s">
        <v>56</v>
      </c>
      <c r="I51" t="s">
        <v>390</v>
      </c>
      <c r="J51" t="s">
        <v>36</v>
      </c>
      <c r="K51" t="s">
        <v>17</v>
      </c>
      <c r="L51" t="s">
        <v>173</v>
      </c>
    </row>
    <row r="52" spans="1:12" x14ac:dyDescent="0.2">
      <c r="A52">
        <v>5185</v>
      </c>
      <c r="B52" t="s">
        <v>144</v>
      </c>
      <c r="C52" t="s">
        <v>12</v>
      </c>
      <c r="D52" t="s">
        <v>12</v>
      </c>
      <c r="E52">
        <v>0</v>
      </c>
      <c r="F52" t="s">
        <v>13</v>
      </c>
      <c r="G52" t="s">
        <v>391</v>
      </c>
      <c r="H52" t="s">
        <v>28</v>
      </c>
      <c r="I52" t="s">
        <v>61</v>
      </c>
      <c r="J52" t="s">
        <v>30</v>
      </c>
      <c r="K52" t="s">
        <v>26</v>
      </c>
      <c r="L52" t="s">
        <v>174</v>
      </c>
    </row>
    <row r="53" spans="1:12" x14ac:dyDescent="0.2">
      <c r="A53">
        <v>259</v>
      </c>
      <c r="B53" t="s">
        <v>144</v>
      </c>
      <c r="C53" t="s">
        <v>12</v>
      </c>
      <c r="D53" t="s">
        <v>12</v>
      </c>
      <c r="E53">
        <v>0</v>
      </c>
      <c r="F53" t="s">
        <v>382</v>
      </c>
      <c r="G53" t="s">
        <v>391</v>
      </c>
      <c r="H53" t="s">
        <v>56</v>
      </c>
      <c r="I53" t="s">
        <v>390</v>
      </c>
      <c r="J53" t="s">
        <v>23</v>
      </c>
      <c r="K53" t="s">
        <v>148</v>
      </c>
      <c r="L53" t="s">
        <v>165</v>
      </c>
    </row>
    <row r="54" spans="1:12" x14ac:dyDescent="0.2">
      <c r="A54">
        <v>474</v>
      </c>
      <c r="B54" t="s">
        <v>144</v>
      </c>
      <c r="C54" t="s">
        <v>19</v>
      </c>
      <c r="D54" t="s">
        <v>19</v>
      </c>
      <c r="E54">
        <v>0</v>
      </c>
      <c r="F54" t="s">
        <v>381</v>
      </c>
      <c r="G54" t="s">
        <v>419</v>
      </c>
      <c r="H54" t="s">
        <v>21</v>
      </c>
      <c r="I54" t="s">
        <v>49</v>
      </c>
      <c r="J54" t="s">
        <v>36</v>
      </c>
      <c r="K54" t="s">
        <v>39</v>
      </c>
      <c r="L54" t="s">
        <v>55</v>
      </c>
    </row>
    <row r="55" spans="1:12" x14ac:dyDescent="0.2">
      <c r="A55">
        <v>138</v>
      </c>
      <c r="B55" t="s">
        <v>144</v>
      </c>
      <c r="C55" t="s">
        <v>12</v>
      </c>
      <c r="D55" t="s">
        <v>12</v>
      </c>
      <c r="E55">
        <v>0</v>
      </c>
      <c r="F55" t="s">
        <v>382</v>
      </c>
      <c r="G55" t="s">
        <v>391</v>
      </c>
      <c r="H55" t="s">
        <v>56</v>
      </c>
      <c r="I55" t="s">
        <v>15</v>
      </c>
      <c r="J55" t="s">
        <v>16</v>
      </c>
      <c r="K55" t="s">
        <v>33</v>
      </c>
      <c r="L55" t="s">
        <v>154</v>
      </c>
    </row>
    <row r="56" spans="1:12" x14ac:dyDescent="0.2">
      <c r="A56">
        <v>4744</v>
      </c>
      <c r="B56" t="s">
        <v>144</v>
      </c>
      <c r="C56" t="s">
        <v>12</v>
      </c>
      <c r="D56" t="s">
        <v>12</v>
      </c>
      <c r="E56">
        <v>0</v>
      </c>
      <c r="F56" t="s">
        <v>32</v>
      </c>
      <c r="G56" t="s">
        <v>391</v>
      </c>
      <c r="H56" t="s">
        <v>21</v>
      </c>
      <c r="I56" t="s">
        <v>45</v>
      </c>
      <c r="J56" t="s">
        <v>51</v>
      </c>
      <c r="K56" t="s">
        <v>47</v>
      </c>
      <c r="L56" t="s">
        <v>33</v>
      </c>
    </row>
    <row r="57" spans="1:12" x14ac:dyDescent="0.2">
      <c r="A57">
        <v>5338</v>
      </c>
      <c r="B57" t="s">
        <v>144</v>
      </c>
      <c r="C57" t="s">
        <v>12</v>
      </c>
      <c r="D57" t="s">
        <v>12</v>
      </c>
      <c r="E57">
        <v>0</v>
      </c>
      <c r="F57" t="s">
        <v>32</v>
      </c>
      <c r="G57" t="s">
        <v>419</v>
      </c>
      <c r="H57" t="s">
        <v>56</v>
      </c>
      <c r="I57" t="s">
        <v>81</v>
      </c>
      <c r="J57" t="s">
        <v>42</v>
      </c>
      <c r="K57" t="s">
        <v>148</v>
      </c>
      <c r="L57" t="s">
        <v>175</v>
      </c>
    </row>
    <row r="58" spans="1:12" x14ac:dyDescent="0.2">
      <c r="A58">
        <v>5518</v>
      </c>
      <c r="B58" t="s">
        <v>144</v>
      </c>
      <c r="C58" t="s">
        <v>12</v>
      </c>
      <c r="D58" t="s">
        <v>12</v>
      </c>
      <c r="E58">
        <v>0</v>
      </c>
      <c r="F58" t="s">
        <v>13</v>
      </c>
      <c r="G58" t="s">
        <v>402</v>
      </c>
      <c r="H58" t="s">
        <v>28</v>
      </c>
      <c r="I58" t="s">
        <v>390</v>
      </c>
      <c r="J58" t="s">
        <v>30</v>
      </c>
      <c r="K58" t="s">
        <v>26</v>
      </c>
      <c r="L58" t="s">
        <v>102</v>
      </c>
    </row>
    <row r="59" spans="1:12" x14ac:dyDescent="0.2">
      <c r="A59">
        <v>3333</v>
      </c>
      <c r="B59" t="s">
        <v>144</v>
      </c>
      <c r="C59" t="s">
        <v>12</v>
      </c>
      <c r="D59" t="s">
        <v>20</v>
      </c>
      <c r="E59">
        <v>1</v>
      </c>
      <c r="F59" t="s">
        <v>381</v>
      </c>
      <c r="G59" t="s">
        <v>420</v>
      </c>
      <c r="H59" t="s">
        <v>21</v>
      </c>
      <c r="I59" t="s">
        <v>82</v>
      </c>
      <c r="J59" t="s">
        <v>51</v>
      </c>
      <c r="K59" t="s">
        <v>17</v>
      </c>
      <c r="L59" t="s">
        <v>17</v>
      </c>
    </row>
    <row r="60" spans="1:12" x14ac:dyDescent="0.2">
      <c r="A60">
        <v>9454</v>
      </c>
      <c r="B60" t="s">
        <v>144</v>
      </c>
      <c r="C60" t="s">
        <v>12</v>
      </c>
      <c r="D60" t="s">
        <v>12</v>
      </c>
      <c r="E60">
        <v>0</v>
      </c>
      <c r="F60" t="s">
        <v>13</v>
      </c>
      <c r="G60" t="s">
        <v>420</v>
      </c>
      <c r="H60" t="s">
        <v>28</v>
      </c>
      <c r="I60" t="s">
        <v>24</v>
      </c>
      <c r="J60" t="s">
        <v>36</v>
      </c>
      <c r="K60" t="s">
        <v>26</v>
      </c>
      <c r="L60" t="s">
        <v>176</v>
      </c>
    </row>
    <row r="61" spans="1:12" x14ac:dyDescent="0.2">
      <c r="A61">
        <v>896</v>
      </c>
      <c r="B61" t="s">
        <v>144</v>
      </c>
      <c r="C61" t="s">
        <v>12</v>
      </c>
      <c r="D61" t="s">
        <v>20</v>
      </c>
      <c r="E61">
        <v>1</v>
      </c>
      <c r="F61" t="s">
        <v>381</v>
      </c>
      <c r="G61" t="s">
        <v>402</v>
      </c>
      <c r="H61" t="s">
        <v>36</v>
      </c>
      <c r="I61" t="s">
        <v>390</v>
      </c>
      <c r="J61" t="s">
        <v>36</v>
      </c>
      <c r="K61" t="s">
        <v>55</v>
      </c>
      <c r="L61" t="s">
        <v>390</v>
      </c>
    </row>
    <row r="62" spans="1:12" x14ac:dyDescent="0.2">
      <c r="A62">
        <v>2192</v>
      </c>
      <c r="B62" t="s">
        <v>144</v>
      </c>
      <c r="C62" t="s">
        <v>12</v>
      </c>
      <c r="D62" t="s">
        <v>12</v>
      </c>
      <c r="E62">
        <v>0</v>
      </c>
      <c r="F62" t="s">
        <v>13</v>
      </c>
      <c r="G62" t="s">
        <v>391</v>
      </c>
      <c r="H62" t="s">
        <v>56</v>
      </c>
      <c r="I62" t="s">
        <v>390</v>
      </c>
      <c r="J62" t="s">
        <v>55</v>
      </c>
      <c r="K62" t="s">
        <v>17</v>
      </c>
      <c r="L62" t="s">
        <v>33</v>
      </c>
    </row>
    <row r="63" spans="1:12" x14ac:dyDescent="0.2">
      <c r="A63">
        <v>9847</v>
      </c>
      <c r="B63" t="s">
        <v>144</v>
      </c>
      <c r="C63" t="s">
        <v>12</v>
      </c>
      <c r="D63" t="s">
        <v>12</v>
      </c>
      <c r="E63">
        <v>0</v>
      </c>
      <c r="F63" t="s">
        <v>13</v>
      </c>
      <c r="G63" t="s">
        <v>420</v>
      </c>
      <c r="H63" t="s">
        <v>28</v>
      </c>
      <c r="I63" t="s">
        <v>24</v>
      </c>
      <c r="J63" t="s">
        <v>36</v>
      </c>
      <c r="K63" t="s">
        <v>26</v>
      </c>
      <c r="L63" t="s">
        <v>177</v>
      </c>
    </row>
    <row r="64" spans="1:12" x14ac:dyDescent="0.2">
      <c r="A64">
        <v>6929</v>
      </c>
      <c r="B64" t="s">
        <v>144</v>
      </c>
      <c r="C64" t="s">
        <v>19</v>
      </c>
      <c r="D64" t="s">
        <v>19</v>
      </c>
      <c r="E64">
        <v>0</v>
      </c>
      <c r="F64" t="s">
        <v>32</v>
      </c>
      <c r="G64" t="s">
        <v>391</v>
      </c>
      <c r="H64" t="s">
        <v>21</v>
      </c>
      <c r="I64" t="s">
        <v>84</v>
      </c>
      <c r="J64" t="s">
        <v>30</v>
      </c>
      <c r="K64" t="s">
        <v>17</v>
      </c>
      <c r="L64" t="s">
        <v>26</v>
      </c>
    </row>
    <row r="65" spans="1:12" x14ac:dyDescent="0.2">
      <c r="A65">
        <v>2012</v>
      </c>
      <c r="B65" t="s">
        <v>144</v>
      </c>
      <c r="C65" t="s">
        <v>19</v>
      </c>
      <c r="D65" t="s">
        <v>12</v>
      </c>
      <c r="E65">
        <v>1</v>
      </c>
      <c r="F65" t="s">
        <v>13</v>
      </c>
      <c r="G65" t="s">
        <v>391</v>
      </c>
      <c r="H65" t="s">
        <v>21</v>
      </c>
      <c r="I65" t="s">
        <v>390</v>
      </c>
      <c r="J65" t="s">
        <v>55</v>
      </c>
      <c r="K65" t="s">
        <v>55</v>
      </c>
      <c r="L65" t="s">
        <v>98</v>
      </c>
    </row>
    <row r="66" spans="1:12" x14ac:dyDescent="0.2">
      <c r="A66">
        <v>1010</v>
      </c>
      <c r="B66" t="s">
        <v>144</v>
      </c>
      <c r="C66" t="s">
        <v>19</v>
      </c>
      <c r="D66" t="s">
        <v>20</v>
      </c>
      <c r="E66">
        <v>1</v>
      </c>
      <c r="F66" t="s">
        <v>381</v>
      </c>
      <c r="G66" t="s">
        <v>391</v>
      </c>
      <c r="H66" t="s">
        <v>21</v>
      </c>
      <c r="I66" t="s">
        <v>178</v>
      </c>
      <c r="J66" t="s">
        <v>25</v>
      </c>
      <c r="K66" t="s">
        <v>17</v>
      </c>
      <c r="L66" t="s">
        <v>17</v>
      </c>
    </row>
    <row r="67" spans="1:12" x14ac:dyDescent="0.2">
      <c r="A67">
        <v>6131</v>
      </c>
      <c r="B67" t="s">
        <v>144</v>
      </c>
      <c r="C67" t="s">
        <v>12</v>
      </c>
      <c r="D67" t="s">
        <v>20</v>
      </c>
      <c r="E67">
        <v>1</v>
      </c>
      <c r="F67" t="s">
        <v>381</v>
      </c>
      <c r="G67" t="s">
        <v>391</v>
      </c>
      <c r="H67" t="s">
        <v>36</v>
      </c>
      <c r="I67" t="s">
        <v>179</v>
      </c>
      <c r="J67" t="s">
        <v>25</v>
      </c>
      <c r="K67" t="s">
        <v>26</v>
      </c>
      <c r="L67" t="s">
        <v>180</v>
      </c>
    </row>
    <row r="68" spans="1:12" x14ac:dyDescent="0.2">
      <c r="A68">
        <v>4698</v>
      </c>
      <c r="B68" t="s">
        <v>144</v>
      </c>
      <c r="C68" t="s">
        <v>19</v>
      </c>
      <c r="D68" t="s">
        <v>20</v>
      </c>
      <c r="E68">
        <v>1</v>
      </c>
      <c r="F68" t="s">
        <v>381</v>
      </c>
      <c r="G68" t="s">
        <v>391</v>
      </c>
      <c r="H68" t="s">
        <v>21</v>
      </c>
      <c r="I68" t="s">
        <v>22</v>
      </c>
      <c r="J68" t="s">
        <v>23</v>
      </c>
      <c r="K68" t="s">
        <v>17</v>
      </c>
      <c r="L68" t="s">
        <v>17</v>
      </c>
    </row>
    <row r="69" spans="1:12" x14ac:dyDescent="0.2">
      <c r="A69">
        <v>3959</v>
      </c>
      <c r="B69" t="s">
        <v>144</v>
      </c>
      <c r="C69" t="s">
        <v>12</v>
      </c>
      <c r="D69" t="s">
        <v>12</v>
      </c>
      <c r="E69">
        <v>0</v>
      </c>
      <c r="F69" t="s">
        <v>13</v>
      </c>
      <c r="G69" t="s">
        <v>391</v>
      </c>
      <c r="H69" t="s">
        <v>21</v>
      </c>
      <c r="I69" t="s">
        <v>49</v>
      </c>
      <c r="J69" t="s">
        <v>36</v>
      </c>
      <c r="K69" t="s">
        <v>17</v>
      </c>
      <c r="L69" t="s">
        <v>18</v>
      </c>
    </row>
    <row r="70" spans="1:12" x14ac:dyDescent="0.2">
      <c r="A70">
        <v>8850</v>
      </c>
      <c r="B70" t="s">
        <v>144</v>
      </c>
      <c r="C70" t="s">
        <v>12</v>
      </c>
      <c r="D70" t="s">
        <v>12</v>
      </c>
      <c r="E70">
        <v>0</v>
      </c>
      <c r="F70" t="s">
        <v>13</v>
      </c>
      <c r="G70" t="s">
        <v>391</v>
      </c>
      <c r="H70" t="s">
        <v>28</v>
      </c>
      <c r="I70" t="s">
        <v>57</v>
      </c>
      <c r="J70" t="s">
        <v>30</v>
      </c>
      <c r="K70" t="s">
        <v>55</v>
      </c>
      <c r="L70" t="s">
        <v>154</v>
      </c>
    </row>
    <row r="71" spans="1:12" x14ac:dyDescent="0.2">
      <c r="A71">
        <v>4479</v>
      </c>
      <c r="B71" t="s">
        <v>144</v>
      </c>
      <c r="C71" t="s">
        <v>12</v>
      </c>
      <c r="D71" t="s">
        <v>12</v>
      </c>
      <c r="E71">
        <v>0</v>
      </c>
      <c r="F71" t="s">
        <v>382</v>
      </c>
      <c r="G71" t="s">
        <v>391</v>
      </c>
      <c r="H71" t="s">
        <v>56</v>
      </c>
      <c r="I71" t="s">
        <v>85</v>
      </c>
      <c r="J71" t="s">
        <v>16</v>
      </c>
      <c r="K71" t="s">
        <v>17</v>
      </c>
      <c r="L71" t="s">
        <v>18</v>
      </c>
    </row>
    <row r="72" spans="1:12" x14ac:dyDescent="0.2">
      <c r="A72">
        <v>416</v>
      </c>
      <c r="B72" t="s">
        <v>144</v>
      </c>
      <c r="C72" t="s">
        <v>19</v>
      </c>
      <c r="D72" t="s">
        <v>19</v>
      </c>
      <c r="E72">
        <v>0</v>
      </c>
      <c r="F72" t="s">
        <v>382</v>
      </c>
      <c r="G72" t="s">
        <v>391</v>
      </c>
      <c r="H72" t="s">
        <v>21</v>
      </c>
      <c r="I72" t="s">
        <v>390</v>
      </c>
      <c r="J72" t="s">
        <v>25</v>
      </c>
      <c r="K72" t="s">
        <v>26</v>
      </c>
      <c r="L72" t="s">
        <v>181</v>
      </c>
    </row>
    <row r="73" spans="1:12" x14ac:dyDescent="0.2">
      <c r="A73">
        <v>9023</v>
      </c>
      <c r="B73" t="s">
        <v>144</v>
      </c>
      <c r="C73" t="s">
        <v>12</v>
      </c>
      <c r="D73" t="s">
        <v>12</v>
      </c>
      <c r="E73">
        <v>0</v>
      </c>
      <c r="F73" t="s">
        <v>13</v>
      </c>
      <c r="G73" t="s">
        <v>404</v>
      </c>
      <c r="H73" t="s">
        <v>56</v>
      </c>
      <c r="I73" t="s">
        <v>57</v>
      </c>
      <c r="J73" t="s">
        <v>30</v>
      </c>
      <c r="K73" t="s">
        <v>33</v>
      </c>
      <c r="L73" t="s">
        <v>182</v>
      </c>
    </row>
    <row r="74" spans="1:12" x14ac:dyDescent="0.2">
      <c r="A74">
        <v>9602</v>
      </c>
      <c r="B74" t="s">
        <v>144</v>
      </c>
      <c r="C74" t="s">
        <v>12</v>
      </c>
      <c r="D74" t="s">
        <v>12</v>
      </c>
      <c r="E74">
        <v>0</v>
      </c>
      <c r="F74" t="s">
        <v>382</v>
      </c>
      <c r="G74" t="s">
        <v>391</v>
      </c>
      <c r="H74" t="s">
        <v>28</v>
      </c>
      <c r="I74" t="s">
        <v>73</v>
      </c>
      <c r="J74" t="s">
        <v>25</v>
      </c>
      <c r="K74" t="s">
        <v>37</v>
      </c>
      <c r="L74" t="s">
        <v>183</v>
      </c>
    </row>
    <row r="75" spans="1:12" x14ac:dyDescent="0.2">
      <c r="A75">
        <v>2534</v>
      </c>
      <c r="B75" t="s">
        <v>144</v>
      </c>
      <c r="C75" t="s">
        <v>19</v>
      </c>
      <c r="D75" t="s">
        <v>20</v>
      </c>
      <c r="E75">
        <v>1</v>
      </c>
      <c r="F75" t="s">
        <v>381</v>
      </c>
      <c r="G75" t="s">
        <v>36</v>
      </c>
      <c r="H75" t="s">
        <v>36</v>
      </c>
      <c r="I75" t="s">
        <v>390</v>
      </c>
      <c r="J75" t="s">
        <v>42</v>
      </c>
      <c r="K75" t="s">
        <v>55</v>
      </c>
      <c r="L75" t="s">
        <v>47</v>
      </c>
    </row>
    <row r="76" spans="1:12" x14ac:dyDescent="0.2">
      <c r="A76">
        <v>3637</v>
      </c>
      <c r="B76" t="s">
        <v>144</v>
      </c>
      <c r="C76" t="s">
        <v>12</v>
      </c>
      <c r="D76" t="s">
        <v>12</v>
      </c>
      <c r="E76">
        <v>0</v>
      </c>
      <c r="F76" t="s">
        <v>382</v>
      </c>
      <c r="G76" t="s">
        <v>420</v>
      </c>
      <c r="H76" t="s">
        <v>36</v>
      </c>
      <c r="I76" t="s">
        <v>61</v>
      </c>
      <c r="J76" t="s">
        <v>30</v>
      </c>
      <c r="K76" t="s">
        <v>83</v>
      </c>
      <c r="L76" t="s">
        <v>158</v>
      </c>
    </row>
    <row r="77" spans="1:12" x14ac:dyDescent="0.2">
      <c r="A77">
        <v>4305</v>
      </c>
      <c r="B77" t="s">
        <v>144</v>
      </c>
      <c r="C77" t="s">
        <v>12</v>
      </c>
      <c r="D77" t="s">
        <v>12</v>
      </c>
      <c r="E77">
        <v>0</v>
      </c>
      <c r="F77" t="s">
        <v>382</v>
      </c>
      <c r="G77" t="s">
        <v>404</v>
      </c>
      <c r="H77" t="s">
        <v>56</v>
      </c>
      <c r="I77" t="s">
        <v>390</v>
      </c>
      <c r="J77" t="s">
        <v>36</v>
      </c>
      <c r="K77" t="s">
        <v>148</v>
      </c>
      <c r="L77" t="s">
        <v>184</v>
      </c>
    </row>
    <row r="78" spans="1:12" x14ac:dyDescent="0.2">
      <c r="A78">
        <v>383</v>
      </c>
      <c r="B78" t="s">
        <v>144</v>
      </c>
      <c r="C78" t="s">
        <v>19</v>
      </c>
      <c r="D78" t="s">
        <v>19</v>
      </c>
      <c r="E78">
        <v>0</v>
      </c>
      <c r="F78" t="s">
        <v>382</v>
      </c>
      <c r="G78" t="s">
        <v>404</v>
      </c>
      <c r="H78" t="s">
        <v>21</v>
      </c>
      <c r="I78" t="s">
        <v>57</v>
      </c>
      <c r="J78" t="s">
        <v>30</v>
      </c>
      <c r="K78" t="s">
        <v>37</v>
      </c>
      <c r="L78" t="s">
        <v>185</v>
      </c>
    </row>
    <row r="79" spans="1:12" x14ac:dyDescent="0.2">
      <c r="A79">
        <v>9695</v>
      </c>
      <c r="B79" t="s">
        <v>144</v>
      </c>
      <c r="C79" t="s">
        <v>12</v>
      </c>
      <c r="D79" t="s">
        <v>12</v>
      </c>
      <c r="E79">
        <v>0</v>
      </c>
      <c r="F79" t="s">
        <v>13</v>
      </c>
      <c r="G79" t="s">
        <v>404</v>
      </c>
      <c r="H79" t="s">
        <v>28</v>
      </c>
      <c r="I79" t="s">
        <v>390</v>
      </c>
      <c r="J79" t="s">
        <v>25</v>
      </c>
      <c r="K79" t="s">
        <v>37</v>
      </c>
      <c r="L79" t="s">
        <v>67</v>
      </c>
    </row>
    <row r="80" spans="1:12" x14ac:dyDescent="0.2">
      <c r="A80">
        <v>4054</v>
      </c>
      <c r="B80" t="s">
        <v>144</v>
      </c>
      <c r="C80" t="s">
        <v>12</v>
      </c>
      <c r="D80" t="s">
        <v>12</v>
      </c>
      <c r="E80">
        <v>0</v>
      </c>
      <c r="F80" t="s">
        <v>13</v>
      </c>
      <c r="G80" t="s">
        <v>391</v>
      </c>
      <c r="H80" t="s">
        <v>28</v>
      </c>
      <c r="I80" t="s">
        <v>29</v>
      </c>
      <c r="J80" t="s">
        <v>30</v>
      </c>
      <c r="K80" t="s">
        <v>17</v>
      </c>
      <c r="L80" t="s">
        <v>102</v>
      </c>
    </row>
    <row r="81" spans="1:12" x14ac:dyDescent="0.2">
      <c r="A81">
        <v>2931</v>
      </c>
      <c r="B81" t="s">
        <v>144</v>
      </c>
      <c r="C81" t="s">
        <v>12</v>
      </c>
      <c r="D81" t="s">
        <v>12</v>
      </c>
      <c r="E81">
        <v>0</v>
      </c>
      <c r="F81" t="s">
        <v>382</v>
      </c>
      <c r="G81" t="s">
        <v>402</v>
      </c>
      <c r="H81" t="s">
        <v>56</v>
      </c>
      <c r="I81" t="s">
        <v>390</v>
      </c>
      <c r="J81" t="s">
        <v>36</v>
      </c>
      <c r="K81" t="s">
        <v>17</v>
      </c>
      <c r="L81" t="s">
        <v>186</v>
      </c>
    </row>
    <row r="82" spans="1:12" x14ac:dyDescent="0.2">
      <c r="A82">
        <v>6297</v>
      </c>
      <c r="B82" t="s">
        <v>144</v>
      </c>
      <c r="C82" t="s">
        <v>19</v>
      </c>
      <c r="D82" t="s">
        <v>19</v>
      </c>
      <c r="E82">
        <v>0</v>
      </c>
      <c r="F82" t="s">
        <v>382</v>
      </c>
      <c r="G82" t="s">
        <v>391</v>
      </c>
      <c r="H82" t="s">
        <v>21</v>
      </c>
      <c r="I82" t="s">
        <v>89</v>
      </c>
      <c r="J82" t="s">
        <v>23</v>
      </c>
      <c r="K82" t="s">
        <v>33</v>
      </c>
      <c r="L82" t="s">
        <v>187</v>
      </c>
    </row>
    <row r="83" spans="1:12" x14ac:dyDescent="0.2">
      <c r="A83">
        <v>3683</v>
      </c>
      <c r="B83" t="s">
        <v>144</v>
      </c>
      <c r="C83" t="s">
        <v>12</v>
      </c>
      <c r="D83" t="s">
        <v>12</v>
      </c>
      <c r="E83">
        <v>0</v>
      </c>
      <c r="F83" t="s">
        <v>13</v>
      </c>
      <c r="G83" t="s">
        <v>404</v>
      </c>
      <c r="H83" t="s">
        <v>28</v>
      </c>
      <c r="I83" t="s">
        <v>45</v>
      </c>
      <c r="J83" t="s">
        <v>51</v>
      </c>
      <c r="K83" t="s">
        <v>17</v>
      </c>
      <c r="L83" t="s">
        <v>188</v>
      </c>
    </row>
    <row r="84" spans="1:12" x14ac:dyDescent="0.2">
      <c r="A84">
        <v>9343</v>
      </c>
      <c r="B84" t="s">
        <v>144</v>
      </c>
      <c r="C84" t="s">
        <v>19</v>
      </c>
      <c r="D84" t="s">
        <v>20</v>
      </c>
      <c r="E84">
        <v>1</v>
      </c>
      <c r="F84" t="s">
        <v>381</v>
      </c>
      <c r="G84" t="s">
        <v>402</v>
      </c>
      <c r="H84" t="s">
        <v>21</v>
      </c>
      <c r="I84" t="s">
        <v>49</v>
      </c>
      <c r="J84" t="s">
        <v>36</v>
      </c>
      <c r="K84" t="s">
        <v>17</v>
      </c>
      <c r="L84" t="s">
        <v>17</v>
      </c>
    </row>
    <row r="85" spans="1:12" x14ac:dyDescent="0.2">
      <c r="A85">
        <v>5733</v>
      </c>
      <c r="B85" t="s">
        <v>144</v>
      </c>
      <c r="C85" t="s">
        <v>12</v>
      </c>
      <c r="D85" t="s">
        <v>12</v>
      </c>
      <c r="E85">
        <v>0</v>
      </c>
      <c r="F85" t="s">
        <v>32</v>
      </c>
      <c r="G85" t="s">
        <v>36</v>
      </c>
      <c r="H85" t="s">
        <v>14</v>
      </c>
      <c r="I85" t="s">
        <v>189</v>
      </c>
      <c r="J85" t="s">
        <v>42</v>
      </c>
      <c r="K85" t="s">
        <v>148</v>
      </c>
      <c r="L85" t="s">
        <v>190</v>
      </c>
    </row>
    <row r="86" spans="1:12" x14ac:dyDescent="0.2">
      <c r="A86">
        <v>6601</v>
      </c>
      <c r="B86" t="s">
        <v>144</v>
      </c>
      <c r="C86" t="s">
        <v>12</v>
      </c>
      <c r="D86" t="s">
        <v>12</v>
      </c>
      <c r="E86">
        <v>0</v>
      </c>
      <c r="F86" t="s">
        <v>382</v>
      </c>
      <c r="G86" t="s">
        <v>391</v>
      </c>
      <c r="H86" t="s">
        <v>56</v>
      </c>
      <c r="I86" t="s">
        <v>390</v>
      </c>
      <c r="J86" t="s">
        <v>30</v>
      </c>
      <c r="K86" t="s">
        <v>148</v>
      </c>
      <c r="L86" t="s">
        <v>173</v>
      </c>
    </row>
    <row r="87" spans="1:12" x14ac:dyDescent="0.2">
      <c r="A87">
        <v>6550</v>
      </c>
      <c r="B87" t="s">
        <v>144</v>
      </c>
      <c r="C87" t="s">
        <v>12</v>
      </c>
      <c r="D87" t="s">
        <v>12</v>
      </c>
      <c r="E87">
        <v>0</v>
      </c>
      <c r="F87" t="s">
        <v>13</v>
      </c>
      <c r="G87" t="s">
        <v>391</v>
      </c>
      <c r="H87" t="s">
        <v>21</v>
      </c>
      <c r="I87" t="s">
        <v>61</v>
      </c>
      <c r="J87" t="s">
        <v>30</v>
      </c>
      <c r="K87" t="s">
        <v>55</v>
      </c>
      <c r="L87" t="s">
        <v>33</v>
      </c>
    </row>
    <row r="88" spans="1:12" x14ac:dyDescent="0.2">
      <c r="A88">
        <v>6619</v>
      </c>
      <c r="B88" t="s">
        <v>144</v>
      </c>
      <c r="C88" t="s">
        <v>12</v>
      </c>
      <c r="D88" t="s">
        <v>12</v>
      </c>
      <c r="E88">
        <v>0</v>
      </c>
      <c r="F88" t="s">
        <v>32</v>
      </c>
      <c r="G88" t="s">
        <v>391</v>
      </c>
      <c r="H88" t="s">
        <v>56</v>
      </c>
      <c r="I88" t="s">
        <v>390</v>
      </c>
      <c r="J88" t="s">
        <v>36</v>
      </c>
      <c r="K88" t="s">
        <v>148</v>
      </c>
      <c r="L88" t="s">
        <v>149</v>
      </c>
    </row>
    <row r="89" spans="1:12" x14ac:dyDescent="0.2">
      <c r="A89">
        <v>4379</v>
      </c>
      <c r="B89" t="s">
        <v>144</v>
      </c>
      <c r="C89" t="s">
        <v>19</v>
      </c>
      <c r="D89" t="s">
        <v>20</v>
      </c>
      <c r="E89">
        <v>1</v>
      </c>
      <c r="F89" t="s">
        <v>381</v>
      </c>
      <c r="G89" t="s">
        <v>402</v>
      </c>
      <c r="H89" t="s">
        <v>21</v>
      </c>
      <c r="I89" t="s">
        <v>89</v>
      </c>
      <c r="J89" t="s">
        <v>23</v>
      </c>
      <c r="K89" t="s">
        <v>17</v>
      </c>
      <c r="L89" t="s">
        <v>148</v>
      </c>
    </row>
    <row r="90" spans="1:12" x14ac:dyDescent="0.2">
      <c r="A90">
        <v>923</v>
      </c>
      <c r="B90" t="s">
        <v>144</v>
      </c>
      <c r="C90" t="s">
        <v>12</v>
      </c>
      <c r="D90" t="s">
        <v>12</v>
      </c>
      <c r="E90">
        <v>0</v>
      </c>
      <c r="F90" t="s">
        <v>13</v>
      </c>
      <c r="G90" t="s">
        <v>402</v>
      </c>
      <c r="H90" t="s">
        <v>14</v>
      </c>
      <c r="I90" t="s">
        <v>390</v>
      </c>
      <c r="J90" t="s">
        <v>30</v>
      </c>
      <c r="K90" t="s">
        <v>17</v>
      </c>
      <c r="L90" t="s">
        <v>31</v>
      </c>
    </row>
    <row r="91" spans="1:12" x14ac:dyDescent="0.2">
      <c r="A91">
        <v>1186</v>
      </c>
      <c r="B91" t="s">
        <v>144</v>
      </c>
      <c r="C91" t="s">
        <v>12</v>
      </c>
      <c r="D91" t="s">
        <v>12</v>
      </c>
      <c r="E91">
        <v>0</v>
      </c>
      <c r="F91" t="s">
        <v>13</v>
      </c>
      <c r="G91" t="s">
        <v>404</v>
      </c>
      <c r="H91" t="s">
        <v>36</v>
      </c>
      <c r="I91" t="s">
        <v>80</v>
      </c>
      <c r="J91" t="s">
        <v>23</v>
      </c>
      <c r="K91" t="s">
        <v>17</v>
      </c>
      <c r="L91" t="s">
        <v>191</v>
      </c>
    </row>
    <row r="92" spans="1:12" x14ac:dyDescent="0.2">
      <c r="A92">
        <v>6552</v>
      </c>
      <c r="B92" t="s">
        <v>144</v>
      </c>
      <c r="C92" t="s">
        <v>19</v>
      </c>
      <c r="D92" t="s">
        <v>12</v>
      </c>
      <c r="E92">
        <v>1</v>
      </c>
      <c r="F92" t="s">
        <v>382</v>
      </c>
      <c r="G92" t="s">
        <v>402</v>
      </c>
      <c r="H92" t="s">
        <v>21</v>
      </c>
      <c r="I92" t="s">
        <v>390</v>
      </c>
      <c r="J92" t="s">
        <v>23</v>
      </c>
      <c r="K92" t="s">
        <v>33</v>
      </c>
      <c r="L92" t="s">
        <v>154</v>
      </c>
    </row>
    <row r="93" spans="1:12" x14ac:dyDescent="0.2">
      <c r="A93">
        <v>2292</v>
      </c>
      <c r="B93" t="s">
        <v>144</v>
      </c>
      <c r="C93" t="s">
        <v>12</v>
      </c>
      <c r="D93" t="s">
        <v>12</v>
      </c>
      <c r="E93">
        <v>0</v>
      </c>
      <c r="F93" t="s">
        <v>381</v>
      </c>
      <c r="G93" t="s">
        <v>391</v>
      </c>
      <c r="H93" t="s">
        <v>14</v>
      </c>
      <c r="I93" t="s">
        <v>106</v>
      </c>
      <c r="J93" t="s">
        <v>30</v>
      </c>
      <c r="K93" t="s">
        <v>17</v>
      </c>
      <c r="L93" t="s">
        <v>17</v>
      </c>
    </row>
    <row r="94" spans="1:12" x14ac:dyDescent="0.2">
      <c r="A94">
        <v>5978</v>
      </c>
      <c r="B94" t="s">
        <v>144</v>
      </c>
      <c r="C94" t="s">
        <v>12</v>
      </c>
      <c r="D94" t="s">
        <v>12</v>
      </c>
      <c r="E94">
        <v>0</v>
      </c>
      <c r="F94" t="s">
        <v>382</v>
      </c>
      <c r="G94" t="s">
        <v>391</v>
      </c>
      <c r="H94" t="s">
        <v>56</v>
      </c>
      <c r="I94" t="s">
        <v>57</v>
      </c>
      <c r="J94" t="s">
        <v>30</v>
      </c>
      <c r="K94" t="s">
        <v>54</v>
      </c>
      <c r="L94" t="s">
        <v>192</v>
      </c>
    </row>
    <row r="95" spans="1:12" x14ac:dyDescent="0.2">
      <c r="A95">
        <v>5891</v>
      </c>
      <c r="B95" t="s">
        <v>144</v>
      </c>
      <c r="C95" t="s">
        <v>19</v>
      </c>
      <c r="D95" t="s">
        <v>20</v>
      </c>
      <c r="E95">
        <v>1</v>
      </c>
      <c r="F95" t="s">
        <v>381</v>
      </c>
      <c r="G95" t="s">
        <v>420</v>
      </c>
      <c r="H95" t="s">
        <v>21</v>
      </c>
      <c r="I95" t="s">
        <v>50</v>
      </c>
      <c r="J95" t="s">
        <v>51</v>
      </c>
      <c r="K95" t="s">
        <v>17</v>
      </c>
      <c r="L95" t="s">
        <v>31</v>
      </c>
    </row>
    <row r="96" spans="1:12" x14ac:dyDescent="0.2">
      <c r="A96">
        <v>7289</v>
      </c>
      <c r="B96" t="s">
        <v>144</v>
      </c>
      <c r="C96" t="s">
        <v>19</v>
      </c>
      <c r="D96" t="s">
        <v>20</v>
      </c>
      <c r="E96">
        <v>1</v>
      </c>
      <c r="F96" t="s">
        <v>381</v>
      </c>
      <c r="G96" t="s">
        <v>391</v>
      </c>
      <c r="H96" t="s">
        <v>21</v>
      </c>
      <c r="I96" t="s">
        <v>68</v>
      </c>
      <c r="J96" t="s">
        <v>42</v>
      </c>
      <c r="K96" t="s">
        <v>37</v>
      </c>
      <c r="L96" t="s">
        <v>96</v>
      </c>
    </row>
    <row r="97" spans="1:12" x14ac:dyDescent="0.2">
      <c r="A97">
        <v>3810</v>
      </c>
      <c r="B97" t="s">
        <v>144</v>
      </c>
      <c r="C97" t="s">
        <v>12</v>
      </c>
      <c r="D97" t="s">
        <v>12</v>
      </c>
      <c r="E97">
        <v>0</v>
      </c>
      <c r="F97" t="s">
        <v>13</v>
      </c>
      <c r="G97" t="s">
        <v>391</v>
      </c>
      <c r="H97" t="s">
        <v>28</v>
      </c>
      <c r="I97" t="s">
        <v>390</v>
      </c>
      <c r="J97" t="s">
        <v>30</v>
      </c>
      <c r="K97" t="s">
        <v>26</v>
      </c>
      <c r="L97" t="s">
        <v>96</v>
      </c>
    </row>
    <row r="98" spans="1:12" x14ac:dyDescent="0.2">
      <c r="A98">
        <v>2814</v>
      </c>
      <c r="B98" t="s">
        <v>144</v>
      </c>
      <c r="C98" t="s">
        <v>12</v>
      </c>
      <c r="D98" t="s">
        <v>20</v>
      </c>
      <c r="E98">
        <v>1</v>
      </c>
      <c r="F98" t="s">
        <v>381</v>
      </c>
      <c r="G98" t="s">
        <v>391</v>
      </c>
      <c r="H98" t="s">
        <v>21</v>
      </c>
      <c r="I98" t="s">
        <v>78</v>
      </c>
      <c r="J98" t="s">
        <v>30</v>
      </c>
      <c r="K98" t="s">
        <v>17</v>
      </c>
      <c r="L98" t="s">
        <v>17</v>
      </c>
    </row>
    <row r="99" spans="1:12" x14ac:dyDescent="0.2">
      <c r="A99">
        <v>8263</v>
      </c>
      <c r="B99" t="s">
        <v>144</v>
      </c>
      <c r="C99" t="s">
        <v>19</v>
      </c>
      <c r="D99" t="s">
        <v>19</v>
      </c>
      <c r="E99">
        <v>0</v>
      </c>
      <c r="F99" t="s">
        <v>381</v>
      </c>
      <c r="G99" t="s">
        <v>391</v>
      </c>
      <c r="H99" t="s">
        <v>21</v>
      </c>
      <c r="I99" t="s">
        <v>390</v>
      </c>
      <c r="J99" t="s">
        <v>30</v>
      </c>
      <c r="K99" t="s">
        <v>37</v>
      </c>
      <c r="L99" t="s">
        <v>67</v>
      </c>
    </row>
    <row r="100" spans="1:12" x14ac:dyDescent="0.2">
      <c r="A100">
        <v>5264</v>
      </c>
      <c r="B100" t="s">
        <v>144</v>
      </c>
      <c r="C100" t="s">
        <v>19</v>
      </c>
      <c r="D100" t="s">
        <v>19</v>
      </c>
      <c r="E100">
        <v>0</v>
      </c>
      <c r="F100" t="s">
        <v>382</v>
      </c>
      <c r="G100" t="s">
        <v>402</v>
      </c>
      <c r="H100" t="s">
        <v>21</v>
      </c>
      <c r="I100" t="s">
        <v>29</v>
      </c>
      <c r="J100" t="s">
        <v>30</v>
      </c>
      <c r="K100" t="s">
        <v>26</v>
      </c>
      <c r="L100" t="s">
        <v>96</v>
      </c>
    </row>
    <row r="101" spans="1:12" x14ac:dyDescent="0.2">
      <c r="A101">
        <v>2480</v>
      </c>
      <c r="B101" t="s">
        <v>144</v>
      </c>
      <c r="C101" t="s">
        <v>12</v>
      </c>
      <c r="D101" t="s">
        <v>12</v>
      </c>
      <c r="E101">
        <v>0</v>
      </c>
      <c r="F101" t="s">
        <v>13</v>
      </c>
      <c r="G101" t="s">
        <v>402</v>
      </c>
      <c r="H101" t="s">
        <v>14</v>
      </c>
      <c r="I101" t="s">
        <v>24</v>
      </c>
      <c r="J101" t="s">
        <v>36</v>
      </c>
      <c r="K101" t="s">
        <v>17</v>
      </c>
      <c r="L101" t="s">
        <v>172</v>
      </c>
    </row>
    <row r="102" spans="1:12" x14ac:dyDescent="0.2">
      <c r="A102">
        <v>1713</v>
      </c>
      <c r="B102" t="s">
        <v>144</v>
      </c>
      <c r="C102" t="s">
        <v>19</v>
      </c>
      <c r="D102" t="s">
        <v>19</v>
      </c>
      <c r="E102">
        <v>0</v>
      </c>
      <c r="F102" t="s">
        <v>13</v>
      </c>
      <c r="G102" t="s">
        <v>396</v>
      </c>
      <c r="H102" t="s">
        <v>21</v>
      </c>
      <c r="I102" t="s">
        <v>61</v>
      </c>
      <c r="J102" t="s">
        <v>30</v>
      </c>
      <c r="K102" t="s">
        <v>17</v>
      </c>
      <c r="L102" t="s">
        <v>33</v>
      </c>
    </row>
    <row r="103" spans="1:12" x14ac:dyDescent="0.2">
      <c r="A103">
        <v>877</v>
      </c>
      <c r="B103" t="s">
        <v>144</v>
      </c>
      <c r="C103" t="s">
        <v>19</v>
      </c>
      <c r="D103" t="s">
        <v>20</v>
      </c>
      <c r="E103">
        <v>1</v>
      </c>
      <c r="F103" t="s">
        <v>381</v>
      </c>
      <c r="G103" t="s">
        <v>36</v>
      </c>
      <c r="H103" t="s">
        <v>21</v>
      </c>
      <c r="I103" t="s">
        <v>193</v>
      </c>
      <c r="J103" t="s">
        <v>51</v>
      </c>
      <c r="K103" t="s">
        <v>17</v>
      </c>
      <c r="L103" t="s">
        <v>194</v>
      </c>
    </row>
    <row r="104" spans="1:12" x14ac:dyDescent="0.2">
      <c r="A104">
        <v>7536</v>
      </c>
      <c r="B104" t="s">
        <v>144</v>
      </c>
      <c r="C104" t="s">
        <v>12</v>
      </c>
      <c r="D104" t="s">
        <v>12</v>
      </c>
      <c r="E104">
        <v>0</v>
      </c>
      <c r="F104" t="s">
        <v>32</v>
      </c>
      <c r="G104" t="s">
        <v>420</v>
      </c>
      <c r="H104" t="s">
        <v>28</v>
      </c>
      <c r="I104" t="s">
        <v>49</v>
      </c>
      <c r="J104" t="s">
        <v>36</v>
      </c>
      <c r="K104" t="s">
        <v>37</v>
      </c>
      <c r="L104" t="s">
        <v>195</v>
      </c>
    </row>
    <row r="105" spans="1:12" x14ac:dyDescent="0.2">
      <c r="A105">
        <v>5661</v>
      </c>
      <c r="B105" t="s">
        <v>144</v>
      </c>
      <c r="C105" t="s">
        <v>12</v>
      </c>
      <c r="D105" t="s">
        <v>12</v>
      </c>
      <c r="E105">
        <v>0</v>
      </c>
      <c r="F105" t="s">
        <v>13</v>
      </c>
      <c r="G105" t="s">
        <v>396</v>
      </c>
      <c r="H105" t="s">
        <v>56</v>
      </c>
      <c r="I105" t="s">
        <v>49</v>
      </c>
      <c r="J105" t="s">
        <v>16</v>
      </c>
      <c r="K105" t="s">
        <v>17</v>
      </c>
      <c r="L105" t="s">
        <v>196</v>
      </c>
    </row>
    <row r="106" spans="1:12" x14ac:dyDescent="0.2">
      <c r="A106">
        <v>9980</v>
      </c>
      <c r="B106" t="s">
        <v>144</v>
      </c>
      <c r="C106" t="s">
        <v>12</v>
      </c>
      <c r="D106" t="s">
        <v>12</v>
      </c>
      <c r="E106">
        <v>0</v>
      </c>
      <c r="F106" t="s">
        <v>13</v>
      </c>
      <c r="G106" t="s">
        <v>36</v>
      </c>
      <c r="H106" t="s">
        <v>44</v>
      </c>
      <c r="I106" t="s">
        <v>24</v>
      </c>
      <c r="J106" t="s">
        <v>36</v>
      </c>
      <c r="K106" t="s">
        <v>37</v>
      </c>
      <c r="L106" t="s">
        <v>67</v>
      </c>
    </row>
    <row r="107" spans="1:12" x14ac:dyDescent="0.2">
      <c r="A107">
        <v>6279</v>
      </c>
      <c r="B107" t="s">
        <v>144</v>
      </c>
      <c r="C107" t="s">
        <v>12</v>
      </c>
      <c r="D107" t="s">
        <v>12</v>
      </c>
      <c r="E107">
        <v>0</v>
      </c>
      <c r="F107" t="s">
        <v>13</v>
      </c>
      <c r="G107" t="s">
        <v>404</v>
      </c>
      <c r="H107" t="s">
        <v>56</v>
      </c>
      <c r="I107" t="s">
        <v>390</v>
      </c>
      <c r="J107" t="s">
        <v>23</v>
      </c>
      <c r="K107" t="s">
        <v>33</v>
      </c>
      <c r="L107" t="s">
        <v>55</v>
      </c>
    </row>
    <row r="108" spans="1:12" x14ac:dyDescent="0.2">
      <c r="A108">
        <v>9861</v>
      </c>
      <c r="B108" t="s">
        <v>144</v>
      </c>
      <c r="C108" t="s">
        <v>19</v>
      </c>
      <c r="D108" t="s">
        <v>20</v>
      </c>
      <c r="E108">
        <v>1</v>
      </c>
      <c r="F108" t="s">
        <v>381</v>
      </c>
      <c r="G108" t="s">
        <v>391</v>
      </c>
      <c r="H108" t="s">
        <v>21</v>
      </c>
      <c r="I108" t="s">
        <v>49</v>
      </c>
      <c r="J108" t="s">
        <v>36</v>
      </c>
      <c r="K108" t="s">
        <v>17</v>
      </c>
      <c r="L108" t="s">
        <v>136</v>
      </c>
    </row>
    <row r="109" spans="1:12" x14ac:dyDescent="0.2">
      <c r="A109">
        <v>9505</v>
      </c>
      <c r="B109" t="s">
        <v>144</v>
      </c>
      <c r="C109" t="s">
        <v>12</v>
      </c>
      <c r="D109" t="s">
        <v>12</v>
      </c>
      <c r="E109">
        <v>0</v>
      </c>
      <c r="F109" t="s">
        <v>13</v>
      </c>
      <c r="G109" t="s">
        <v>391</v>
      </c>
      <c r="H109" t="s">
        <v>28</v>
      </c>
      <c r="I109" t="s">
        <v>24</v>
      </c>
      <c r="J109" t="s">
        <v>25</v>
      </c>
      <c r="K109" t="s">
        <v>37</v>
      </c>
      <c r="L109" t="s">
        <v>122</v>
      </c>
    </row>
    <row r="110" spans="1:12" x14ac:dyDescent="0.2">
      <c r="A110">
        <v>940</v>
      </c>
      <c r="B110" t="s">
        <v>144</v>
      </c>
      <c r="C110" t="s">
        <v>12</v>
      </c>
      <c r="D110" t="s">
        <v>12</v>
      </c>
      <c r="E110">
        <v>0</v>
      </c>
      <c r="F110" t="s">
        <v>13</v>
      </c>
      <c r="G110" t="s">
        <v>391</v>
      </c>
      <c r="H110" t="s">
        <v>36</v>
      </c>
      <c r="I110" t="s">
        <v>197</v>
      </c>
      <c r="J110" t="s">
        <v>30</v>
      </c>
      <c r="K110" t="s">
        <v>17</v>
      </c>
      <c r="L110" t="s">
        <v>166</v>
      </c>
    </row>
    <row r="111" spans="1:12" x14ac:dyDescent="0.2">
      <c r="A111">
        <v>6002</v>
      </c>
      <c r="B111" t="s">
        <v>144</v>
      </c>
      <c r="C111" t="s">
        <v>12</v>
      </c>
      <c r="D111" t="s">
        <v>12</v>
      </c>
      <c r="E111">
        <v>0</v>
      </c>
      <c r="F111" t="s">
        <v>13</v>
      </c>
      <c r="G111" t="s">
        <v>402</v>
      </c>
      <c r="H111" t="s">
        <v>56</v>
      </c>
      <c r="I111" t="s">
        <v>390</v>
      </c>
      <c r="J111" t="s">
        <v>36</v>
      </c>
      <c r="K111" t="s">
        <v>17</v>
      </c>
      <c r="L111" t="s">
        <v>18</v>
      </c>
    </row>
    <row r="112" spans="1:12" x14ac:dyDescent="0.2">
      <c r="A112">
        <v>6121</v>
      </c>
      <c r="B112" t="s">
        <v>144</v>
      </c>
      <c r="C112" t="s">
        <v>12</v>
      </c>
      <c r="D112" t="s">
        <v>20</v>
      </c>
      <c r="E112">
        <v>1</v>
      </c>
      <c r="F112" t="s">
        <v>381</v>
      </c>
      <c r="G112" t="s">
        <v>402</v>
      </c>
      <c r="H112" t="s">
        <v>36</v>
      </c>
      <c r="I112" t="s">
        <v>390</v>
      </c>
      <c r="J112" t="s">
        <v>23</v>
      </c>
      <c r="K112" t="s">
        <v>55</v>
      </c>
      <c r="L112" t="s">
        <v>198</v>
      </c>
    </row>
    <row r="113" spans="1:12" x14ac:dyDescent="0.2">
      <c r="A113">
        <v>3193</v>
      </c>
      <c r="B113" t="s">
        <v>144</v>
      </c>
      <c r="C113" t="s">
        <v>19</v>
      </c>
      <c r="D113" t="s">
        <v>19</v>
      </c>
      <c r="E113">
        <v>0</v>
      </c>
      <c r="F113" t="s">
        <v>382</v>
      </c>
      <c r="G113" t="s">
        <v>402</v>
      </c>
      <c r="H113" t="s">
        <v>21</v>
      </c>
      <c r="I113" t="s">
        <v>118</v>
      </c>
      <c r="J113" t="s">
        <v>25</v>
      </c>
      <c r="K113" t="s">
        <v>37</v>
      </c>
      <c r="L113" t="s">
        <v>199</v>
      </c>
    </row>
    <row r="114" spans="1:12" x14ac:dyDescent="0.2">
      <c r="A114">
        <v>5796</v>
      </c>
      <c r="B114" t="s">
        <v>144</v>
      </c>
      <c r="C114" t="s">
        <v>12</v>
      </c>
      <c r="D114" t="s">
        <v>12</v>
      </c>
      <c r="E114">
        <v>0</v>
      </c>
      <c r="F114" t="s">
        <v>13</v>
      </c>
      <c r="G114" t="s">
        <v>402</v>
      </c>
      <c r="H114" t="s">
        <v>28</v>
      </c>
      <c r="I114" t="s">
        <v>61</v>
      </c>
      <c r="J114" t="s">
        <v>30</v>
      </c>
      <c r="K114" t="s">
        <v>55</v>
      </c>
      <c r="L114" t="s">
        <v>155</v>
      </c>
    </row>
    <row r="115" spans="1:12" x14ac:dyDescent="0.2">
      <c r="A115">
        <v>9845</v>
      </c>
      <c r="B115" t="s">
        <v>144</v>
      </c>
      <c r="C115" t="s">
        <v>12</v>
      </c>
      <c r="D115" t="s">
        <v>12</v>
      </c>
      <c r="E115">
        <v>0</v>
      </c>
      <c r="F115" t="s">
        <v>13</v>
      </c>
      <c r="G115" t="s">
        <v>396</v>
      </c>
      <c r="H115" t="s">
        <v>28</v>
      </c>
      <c r="I115" t="s">
        <v>24</v>
      </c>
      <c r="J115" t="s">
        <v>25</v>
      </c>
      <c r="K115" t="s">
        <v>26</v>
      </c>
      <c r="L115" t="s">
        <v>200</v>
      </c>
    </row>
    <row r="116" spans="1:12" x14ac:dyDescent="0.2">
      <c r="A116">
        <v>2911</v>
      </c>
      <c r="B116" t="s">
        <v>144</v>
      </c>
      <c r="C116" t="s">
        <v>12</v>
      </c>
      <c r="D116" t="s">
        <v>12</v>
      </c>
      <c r="E116">
        <v>0</v>
      </c>
      <c r="F116" t="s">
        <v>382</v>
      </c>
      <c r="G116" t="s">
        <v>396</v>
      </c>
      <c r="H116" t="s">
        <v>14</v>
      </c>
      <c r="I116" t="s">
        <v>390</v>
      </c>
      <c r="J116" t="s">
        <v>36</v>
      </c>
      <c r="K116" t="s">
        <v>17</v>
      </c>
      <c r="L116" t="s">
        <v>34</v>
      </c>
    </row>
    <row r="117" spans="1:12" x14ac:dyDescent="0.2">
      <c r="A117">
        <v>10238</v>
      </c>
      <c r="B117" t="s">
        <v>144</v>
      </c>
      <c r="C117" t="s">
        <v>12</v>
      </c>
      <c r="D117" t="s">
        <v>12</v>
      </c>
      <c r="E117">
        <v>0</v>
      </c>
      <c r="F117" t="s">
        <v>32</v>
      </c>
      <c r="G117" t="s">
        <v>420</v>
      </c>
      <c r="H117" t="s">
        <v>56</v>
      </c>
      <c r="I117" t="s">
        <v>45</v>
      </c>
      <c r="J117" t="s">
        <v>51</v>
      </c>
      <c r="K117" t="s">
        <v>33</v>
      </c>
      <c r="L117" t="s">
        <v>47</v>
      </c>
    </row>
    <row r="118" spans="1:12" x14ac:dyDescent="0.2">
      <c r="A118">
        <v>7345</v>
      </c>
      <c r="B118" t="s">
        <v>144</v>
      </c>
      <c r="C118" t="s">
        <v>12</v>
      </c>
      <c r="D118" t="s">
        <v>19</v>
      </c>
      <c r="E118">
        <v>1</v>
      </c>
      <c r="F118" t="s">
        <v>13</v>
      </c>
      <c r="G118" t="s">
        <v>391</v>
      </c>
      <c r="H118" t="s">
        <v>21</v>
      </c>
      <c r="I118" t="s">
        <v>390</v>
      </c>
      <c r="J118" t="s">
        <v>30</v>
      </c>
      <c r="K118" t="s">
        <v>17</v>
      </c>
      <c r="L118" t="s">
        <v>55</v>
      </c>
    </row>
    <row r="119" spans="1:12" x14ac:dyDescent="0.2">
      <c r="A119">
        <v>1947</v>
      </c>
      <c r="B119" t="s">
        <v>144</v>
      </c>
      <c r="C119" t="s">
        <v>19</v>
      </c>
      <c r="D119" t="s">
        <v>19</v>
      </c>
      <c r="E119">
        <v>0</v>
      </c>
      <c r="F119" t="s">
        <v>382</v>
      </c>
      <c r="G119" t="s">
        <v>420</v>
      </c>
      <c r="H119" t="s">
        <v>21</v>
      </c>
      <c r="I119" t="s">
        <v>201</v>
      </c>
      <c r="J119" t="s">
        <v>30</v>
      </c>
      <c r="K119" t="s">
        <v>26</v>
      </c>
      <c r="L119" t="s">
        <v>53</v>
      </c>
    </row>
    <row r="120" spans="1:12" x14ac:dyDescent="0.2">
      <c r="A120">
        <v>8600</v>
      </c>
      <c r="B120" t="s">
        <v>144</v>
      </c>
      <c r="C120" t="s">
        <v>12</v>
      </c>
      <c r="D120" t="s">
        <v>12</v>
      </c>
      <c r="E120">
        <v>0</v>
      </c>
      <c r="F120" t="s">
        <v>382</v>
      </c>
      <c r="G120" t="s">
        <v>402</v>
      </c>
      <c r="H120" t="s">
        <v>56</v>
      </c>
      <c r="I120" t="s">
        <v>85</v>
      </c>
      <c r="J120" t="s">
        <v>16</v>
      </c>
      <c r="K120" t="s">
        <v>17</v>
      </c>
      <c r="L120" t="s">
        <v>17</v>
      </c>
    </row>
    <row r="121" spans="1:12" x14ac:dyDescent="0.2">
      <c r="A121">
        <v>1751</v>
      </c>
      <c r="B121" t="s">
        <v>144</v>
      </c>
      <c r="C121" t="s">
        <v>19</v>
      </c>
      <c r="D121" t="s">
        <v>12</v>
      </c>
      <c r="E121">
        <v>1</v>
      </c>
      <c r="F121" t="s">
        <v>13</v>
      </c>
      <c r="G121" t="s">
        <v>402</v>
      </c>
      <c r="H121" t="s">
        <v>21</v>
      </c>
      <c r="I121" t="s">
        <v>130</v>
      </c>
      <c r="J121" t="s">
        <v>23</v>
      </c>
      <c r="K121" t="s">
        <v>33</v>
      </c>
      <c r="L121" t="s">
        <v>187</v>
      </c>
    </row>
    <row r="122" spans="1:12" x14ac:dyDescent="0.2">
      <c r="A122">
        <v>5771</v>
      </c>
      <c r="B122" t="s">
        <v>144</v>
      </c>
      <c r="C122" t="s">
        <v>19</v>
      </c>
      <c r="D122" t="s">
        <v>19</v>
      </c>
      <c r="E122">
        <v>0</v>
      </c>
      <c r="F122" t="s">
        <v>13</v>
      </c>
      <c r="G122" t="s">
        <v>402</v>
      </c>
      <c r="H122" t="s">
        <v>21</v>
      </c>
      <c r="I122" t="s">
        <v>89</v>
      </c>
      <c r="J122" t="s">
        <v>23</v>
      </c>
      <c r="K122" t="s">
        <v>55</v>
      </c>
      <c r="L122" t="s">
        <v>34</v>
      </c>
    </row>
    <row r="123" spans="1:12" x14ac:dyDescent="0.2">
      <c r="A123">
        <v>6408</v>
      </c>
      <c r="B123" t="s">
        <v>144</v>
      </c>
      <c r="C123" t="s">
        <v>12</v>
      </c>
      <c r="D123" t="s">
        <v>12</v>
      </c>
      <c r="E123">
        <v>0</v>
      </c>
      <c r="F123" t="s">
        <v>382</v>
      </c>
      <c r="G123" t="s">
        <v>391</v>
      </c>
      <c r="H123" t="s">
        <v>28</v>
      </c>
      <c r="I123" t="s">
        <v>127</v>
      </c>
      <c r="J123" t="s">
        <v>16</v>
      </c>
      <c r="K123" t="s">
        <v>26</v>
      </c>
      <c r="L123" t="s">
        <v>202</v>
      </c>
    </row>
    <row r="124" spans="1:12" x14ac:dyDescent="0.2">
      <c r="A124">
        <v>5300</v>
      </c>
      <c r="B124" t="s">
        <v>144</v>
      </c>
      <c r="C124" t="s">
        <v>12</v>
      </c>
      <c r="D124" t="s">
        <v>12</v>
      </c>
      <c r="E124">
        <v>0</v>
      </c>
      <c r="F124" t="s">
        <v>13</v>
      </c>
      <c r="G124" t="s">
        <v>391</v>
      </c>
      <c r="H124" t="s">
        <v>28</v>
      </c>
      <c r="I124" t="s">
        <v>61</v>
      </c>
      <c r="J124" t="s">
        <v>30</v>
      </c>
      <c r="K124" t="s">
        <v>26</v>
      </c>
      <c r="L124" t="s">
        <v>203</v>
      </c>
    </row>
    <row r="125" spans="1:12" x14ac:dyDescent="0.2">
      <c r="A125">
        <v>8232</v>
      </c>
      <c r="B125" t="s">
        <v>144</v>
      </c>
      <c r="C125" t="s">
        <v>12</v>
      </c>
      <c r="D125" t="s">
        <v>12</v>
      </c>
      <c r="E125">
        <v>0</v>
      </c>
      <c r="F125" t="s">
        <v>381</v>
      </c>
      <c r="G125" t="s">
        <v>402</v>
      </c>
      <c r="H125" t="s">
        <v>44</v>
      </c>
      <c r="I125" t="s">
        <v>104</v>
      </c>
      <c r="J125" t="s">
        <v>51</v>
      </c>
      <c r="K125" t="s">
        <v>83</v>
      </c>
      <c r="L125" t="s">
        <v>37</v>
      </c>
    </row>
    <row r="126" spans="1:12" x14ac:dyDescent="0.2">
      <c r="A126">
        <v>5034</v>
      </c>
      <c r="B126" t="s">
        <v>144</v>
      </c>
      <c r="C126" t="s">
        <v>19</v>
      </c>
      <c r="D126" t="s">
        <v>19</v>
      </c>
      <c r="E126">
        <v>0</v>
      </c>
      <c r="F126" t="s">
        <v>382</v>
      </c>
      <c r="G126" t="s">
        <v>402</v>
      </c>
      <c r="H126" t="s">
        <v>21</v>
      </c>
      <c r="I126" t="s">
        <v>390</v>
      </c>
      <c r="J126" t="s">
        <v>25</v>
      </c>
      <c r="K126" t="s">
        <v>37</v>
      </c>
      <c r="L126" t="s">
        <v>181</v>
      </c>
    </row>
    <row r="127" spans="1:12" x14ac:dyDescent="0.2">
      <c r="A127">
        <v>1983</v>
      </c>
      <c r="B127" t="s">
        <v>144</v>
      </c>
      <c r="C127" t="s">
        <v>19</v>
      </c>
      <c r="D127" t="s">
        <v>12</v>
      </c>
      <c r="E127">
        <v>1</v>
      </c>
      <c r="F127" t="s">
        <v>13</v>
      </c>
      <c r="G127" t="s">
        <v>402</v>
      </c>
      <c r="H127" t="s">
        <v>56</v>
      </c>
      <c r="I127" t="s">
        <v>204</v>
      </c>
      <c r="J127" t="s">
        <v>51</v>
      </c>
      <c r="K127" t="s">
        <v>148</v>
      </c>
      <c r="L127" t="s">
        <v>205</v>
      </c>
    </row>
    <row r="128" spans="1:12" x14ac:dyDescent="0.2">
      <c r="A128">
        <v>10181</v>
      </c>
      <c r="B128" t="s">
        <v>144</v>
      </c>
      <c r="C128" t="s">
        <v>12</v>
      </c>
      <c r="D128" t="s">
        <v>12</v>
      </c>
      <c r="E128">
        <v>0</v>
      </c>
      <c r="F128" t="s">
        <v>13</v>
      </c>
      <c r="G128" t="s">
        <v>402</v>
      </c>
      <c r="H128" t="s">
        <v>28</v>
      </c>
      <c r="I128" t="s">
        <v>24</v>
      </c>
      <c r="J128" t="s">
        <v>55</v>
      </c>
      <c r="K128" t="s">
        <v>37</v>
      </c>
      <c r="L128" t="s">
        <v>206</v>
      </c>
    </row>
    <row r="129" spans="1:12" x14ac:dyDescent="0.2">
      <c r="A129">
        <v>5331</v>
      </c>
      <c r="B129" t="s">
        <v>144</v>
      </c>
      <c r="C129" t="s">
        <v>12</v>
      </c>
      <c r="D129" t="s">
        <v>20</v>
      </c>
      <c r="E129">
        <v>1</v>
      </c>
      <c r="F129" t="s">
        <v>381</v>
      </c>
      <c r="G129" t="s">
        <v>402</v>
      </c>
      <c r="H129" t="s">
        <v>28</v>
      </c>
      <c r="I129" t="s">
        <v>61</v>
      </c>
      <c r="J129" t="s">
        <v>30</v>
      </c>
      <c r="K129" t="s">
        <v>83</v>
      </c>
      <c r="L129" t="s">
        <v>136</v>
      </c>
    </row>
    <row r="130" spans="1:12" x14ac:dyDescent="0.2">
      <c r="A130">
        <v>2941</v>
      </c>
      <c r="B130" t="s">
        <v>144</v>
      </c>
      <c r="C130" t="s">
        <v>12</v>
      </c>
      <c r="D130" t="s">
        <v>12</v>
      </c>
      <c r="E130">
        <v>0</v>
      </c>
      <c r="F130" t="s">
        <v>382</v>
      </c>
      <c r="G130" t="s">
        <v>396</v>
      </c>
      <c r="H130" t="s">
        <v>56</v>
      </c>
      <c r="I130" t="s">
        <v>390</v>
      </c>
      <c r="J130" t="s">
        <v>36</v>
      </c>
      <c r="K130" t="s">
        <v>17</v>
      </c>
      <c r="L130" t="s">
        <v>207</v>
      </c>
    </row>
    <row r="131" spans="1:12" x14ac:dyDescent="0.2">
      <c r="A131">
        <v>2219</v>
      </c>
      <c r="B131" t="s">
        <v>144</v>
      </c>
      <c r="C131" t="s">
        <v>19</v>
      </c>
      <c r="D131" t="s">
        <v>12</v>
      </c>
      <c r="E131">
        <v>1</v>
      </c>
      <c r="F131" t="s">
        <v>13</v>
      </c>
      <c r="G131" t="s">
        <v>420</v>
      </c>
      <c r="H131" t="s">
        <v>56</v>
      </c>
      <c r="I131" t="s">
        <v>49</v>
      </c>
      <c r="J131" t="s">
        <v>36</v>
      </c>
      <c r="K131" t="s">
        <v>26</v>
      </c>
      <c r="L131" t="s">
        <v>31</v>
      </c>
    </row>
    <row r="132" spans="1:12" x14ac:dyDescent="0.2">
      <c r="A132">
        <v>4277</v>
      </c>
      <c r="B132" t="s">
        <v>144</v>
      </c>
      <c r="C132" t="s">
        <v>12</v>
      </c>
      <c r="D132" t="s">
        <v>12</v>
      </c>
      <c r="E132">
        <v>0</v>
      </c>
      <c r="F132" t="s">
        <v>32</v>
      </c>
      <c r="G132" t="s">
        <v>402</v>
      </c>
      <c r="H132" t="s">
        <v>56</v>
      </c>
      <c r="I132" t="s">
        <v>127</v>
      </c>
      <c r="J132" t="s">
        <v>51</v>
      </c>
      <c r="K132" t="s">
        <v>47</v>
      </c>
      <c r="L132" t="s">
        <v>33</v>
      </c>
    </row>
    <row r="133" spans="1:12" x14ac:dyDescent="0.2">
      <c r="A133">
        <v>8589</v>
      </c>
      <c r="B133" t="s">
        <v>144</v>
      </c>
      <c r="C133" t="s">
        <v>19</v>
      </c>
      <c r="D133" t="s">
        <v>20</v>
      </c>
      <c r="E133">
        <v>1</v>
      </c>
      <c r="F133" t="s">
        <v>381</v>
      </c>
      <c r="G133" t="s">
        <v>402</v>
      </c>
      <c r="H133" t="s">
        <v>21</v>
      </c>
      <c r="I133" t="s">
        <v>49</v>
      </c>
      <c r="J133" t="s">
        <v>36</v>
      </c>
      <c r="K133" t="s">
        <v>17</v>
      </c>
      <c r="L133" t="s">
        <v>208</v>
      </c>
    </row>
    <row r="134" spans="1:12" x14ac:dyDescent="0.2">
      <c r="A134">
        <v>2326</v>
      </c>
      <c r="B134" t="s">
        <v>144</v>
      </c>
      <c r="C134" t="s">
        <v>12</v>
      </c>
      <c r="D134" t="s">
        <v>12</v>
      </c>
      <c r="E134">
        <v>0</v>
      </c>
      <c r="F134" t="s">
        <v>13</v>
      </c>
      <c r="G134" t="s">
        <v>402</v>
      </c>
      <c r="H134" t="s">
        <v>14</v>
      </c>
      <c r="I134" t="s">
        <v>24</v>
      </c>
      <c r="J134" t="s">
        <v>36</v>
      </c>
      <c r="K134" t="s">
        <v>37</v>
      </c>
      <c r="L134" t="s">
        <v>209</v>
      </c>
    </row>
    <row r="135" spans="1:12" x14ac:dyDescent="0.2">
      <c r="A135">
        <v>3279</v>
      </c>
      <c r="B135" t="s">
        <v>144</v>
      </c>
      <c r="C135" t="s">
        <v>12</v>
      </c>
      <c r="D135" t="s">
        <v>12</v>
      </c>
      <c r="E135">
        <v>0</v>
      </c>
      <c r="F135" t="s">
        <v>32</v>
      </c>
      <c r="G135" t="s">
        <v>420</v>
      </c>
      <c r="H135" t="s">
        <v>28</v>
      </c>
      <c r="I135" t="s">
        <v>50</v>
      </c>
      <c r="J135" t="s">
        <v>51</v>
      </c>
      <c r="K135" t="s">
        <v>33</v>
      </c>
      <c r="L135" t="s">
        <v>52</v>
      </c>
    </row>
    <row r="136" spans="1:12" x14ac:dyDescent="0.2">
      <c r="A136">
        <v>4838</v>
      </c>
      <c r="B136" t="s">
        <v>144</v>
      </c>
      <c r="C136" t="s">
        <v>19</v>
      </c>
      <c r="D136" t="s">
        <v>12</v>
      </c>
      <c r="E136">
        <v>1</v>
      </c>
      <c r="F136" t="s">
        <v>13</v>
      </c>
      <c r="G136" t="s">
        <v>402</v>
      </c>
      <c r="H136" t="s">
        <v>21</v>
      </c>
      <c r="I136" t="s">
        <v>390</v>
      </c>
      <c r="J136" t="s">
        <v>30</v>
      </c>
      <c r="K136" t="s">
        <v>33</v>
      </c>
      <c r="L136" t="s">
        <v>154</v>
      </c>
    </row>
    <row r="137" spans="1:12" x14ac:dyDescent="0.2">
      <c r="A137">
        <v>6629</v>
      </c>
      <c r="B137" t="s">
        <v>144</v>
      </c>
      <c r="C137" t="s">
        <v>12</v>
      </c>
      <c r="D137" t="s">
        <v>12</v>
      </c>
      <c r="E137">
        <v>0</v>
      </c>
      <c r="F137" t="s">
        <v>32</v>
      </c>
      <c r="G137" t="s">
        <v>396</v>
      </c>
      <c r="H137" t="s">
        <v>56</v>
      </c>
      <c r="I137" t="s">
        <v>390</v>
      </c>
      <c r="J137" t="s">
        <v>30</v>
      </c>
      <c r="K137" t="s">
        <v>148</v>
      </c>
      <c r="L137" t="s">
        <v>210</v>
      </c>
    </row>
    <row r="138" spans="1:12" x14ac:dyDescent="0.2">
      <c r="A138">
        <v>5148</v>
      </c>
      <c r="B138" t="s">
        <v>144</v>
      </c>
      <c r="C138" t="s">
        <v>19</v>
      </c>
      <c r="D138" t="s">
        <v>12</v>
      </c>
      <c r="E138">
        <v>1</v>
      </c>
      <c r="F138" t="s">
        <v>13</v>
      </c>
      <c r="G138" t="s">
        <v>36</v>
      </c>
      <c r="H138" t="s">
        <v>21</v>
      </c>
      <c r="I138" t="s">
        <v>153</v>
      </c>
      <c r="J138" t="s">
        <v>36</v>
      </c>
      <c r="K138" t="s">
        <v>33</v>
      </c>
      <c r="L138" t="s">
        <v>55</v>
      </c>
    </row>
    <row r="139" spans="1:12" x14ac:dyDescent="0.2">
      <c r="A139">
        <v>8410</v>
      </c>
      <c r="B139" t="s">
        <v>144</v>
      </c>
      <c r="C139" t="s">
        <v>12</v>
      </c>
      <c r="D139" t="s">
        <v>12</v>
      </c>
      <c r="E139">
        <v>0</v>
      </c>
      <c r="F139" t="s">
        <v>13</v>
      </c>
      <c r="G139" t="s">
        <v>402</v>
      </c>
      <c r="H139" t="s">
        <v>56</v>
      </c>
      <c r="I139" t="s">
        <v>57</v>
      </c>
      <c r="J139" t="s">
        <v>30</v>
      </c>
      <c r="K139" t="s">
        <v>33</v>
      </c>
      <c r="L139" t="s">
        <v>211</v>
      </c>
    </row>
    <row r="140" spans="1:12" x14ac:dyDescent="0.2">
      <c r="A140">
        <v>3346</v>
      </c>
      <c r="B140" t="s">
        <v>144</v>
      </c>
      <c r="C140" t="s">
        <v>19</v>
      </c>
      <c r="D140" t="s">
        <v>19</v>
      </c>
      <c r="E140">
        <v>0</v>
      </c>
      <c r="F140" t="s">
        <v>382</v>
      </c>
      <c r="G140" t="s">
        <v>420</v>
      </c>
      <c r="H140" t="s">
        <v>21</v>
      </c>
      <c r="I140" t="s">
        <v>61</v>
      </c>
      <c r="J140" t="s">
        <v>30</v>
      </c>
      <c r="K140" t="s">
        <v>26</v>
      </c>
      <c r="L140" t="s">
        <v>212</v>
      </c>
    </row>
    <row r="141" spans="1:12" x14ac:dyDescent="0.2">
      <c r="A141">
        <v>2241</v>
      </c>
      <c r="B141" t="s">
        <v>144</v>
      </c>
      <c r="C141" t="s">
        <v>12</v>
      </c>
      <c r="D141" t="s">
        <v>12</v>
      </c>
      <c r="E141">
        <v>0</v>
      </c>
      <c r="F141" t="s">
        <v>382</v>
      </c>
      <c r="G141" t="s">
        <v>402</v>
      </c>
      <c r="H141" t="s">
        <v>28</v>
      </c>
      <c r="I141" t="s">
        <v>78</v>
      </c>
      <c r="J141" t="s">
        <v>30</v>
      </c>
      <c r="K141" t="s">
        <v>26</v>
      </c>
      <c r="L141" t="s">
        <v>213</v>
      </c>
    </row>
    <row r="142" spans="1:12" x14ac:dyDescent="0.2">
      <c r="A142">
        <v>4280</v>
      </c>
      <c r="B142" t="s">
        <v>144</v>
      </c>
      <c r="C142" t="s">
        <v>12</v>
      </c>
      <c r="D142" t="s">
        <v>12</v>
      </c>
      <c r="E142">
        <v>0</v>
      </c>
      <c r="F142" t="s">
        <v>32</v>
      </c>
      <c r="G142" t="s">
        <v>391</v>
      </c>
      <c r="H142" t="s">
        <v>36</v>
      </c>
      <c r="I142" t="s">
        <v>45</v>
      </c>
      <c r="J142" t="s">
        <v>51</v>
      </c>
      <c r="K142" t="s">
        <v>148</v>
      </c>
      <c r="L142" t="s">
        <v>34</v>
      </c>
    </row>
    <row r="143" spans="1:12" x14ac:dyDescent="0.2">
      <c r="A143">
        <v>4533</v>
      </c>
      <c r="B143" t="s">
        <v>144</v>
      </c>
      <c r="C143" t="s">
        <v>12</v>
      </c>
      <c r="D143" t="s">
        <v>12</v>
      </c>
      <c r="E143">
        <v>0</v>
      </c>
      <c r="F143" t="s">
        <v>32</v>
      </c>
      <c r="G143" t="s">
        <v>391</v>
      </c>
      <c r="H143" t="s">
        <v>28</v>
      </c>
      <c r="I143" t="s">
        <v>29</v>
      </c>
      <c r="J143" t="s">
        <v>30</v>
      </c>
      <c r="K143" t="s">
        <v>26</v>
      </c>
      <c r="L143" t="s">
        <v>43</v>
      </c>
    </row>
    <row r="144" spans="1:12" x14ac:dyDescent="0.2">
      <c r="A144">
        <v>10174</v>
      </c>
      <c r="B144" t="s">
        <v>144</v>
      </c>
      <c r="C144" t="s">
        <v>12</v>
      </c>
      <c r="D144" t="s">
        <v>12</v>
      </c>
      <c r="E144">
        <v>0</v>
      </c>
      <c r="F144" t="s">
        <v>13</v>
      </c>
      <c r="G144" t="s">
        <v>391</v>
      </c>
      <c r="H144" t="s">
        <v>28</v>
      </c>
      <c r="I144" t="s">
        <v>24</v>
      </c>
      <c r="J144" t="s">
        <v>25</v>
      </c>
      <c r="K144" t="s">
        <v>54</v>
      </c>
      <c r="L144" t="s">
        <v>214</v>
      </c>
    </row>
    <row r="145" spans="1:12" x14ac:dyDescent="0.2">
      <c r="A145">
        <v>837</v>
      </c>
      <c r="B145" t="s">
        <v>144</v>
      </c>
      <c r="C145" t="s">
        <v>19</v>
      </c>
      <c r="D145" t="s">
        <v>20</v>
      </c>
      <c r="E145">
        <v>1</v>
      </c>
      <c r="F145" t="s">
        <v>381</v>
      </c>
      <c r="G145" t="s">
        <v>396</v>
      </c>
      <c r="H145" t="s">
        <v>56</v>
      </c>
      <c r="I145" t="s">
        <v>49</v>
      </c>
      <c r="J145" t="s">
        <v>36</v>
      </c>
      <c r="K145" t="s">
        <v>17</v>
      </c>
      <c r="L145" t="s">
        <v>55</v>
      </c>
    </row>
    <row r="146" spans="1:12" x14ac:dyDescent="0.2">
      <c r="A146">
        <v>8425</v>
      </c>
      <c r="B146" t="s">
        <v>144</v>
      </c>
      <c r="C146" t="s">
        <v>12</v>
      </c>
      <c r="D146" t="s">
        <v>12</v>
      </c>
      <c r="E146">
        <v>0</v>
      </c>
      <c r="F146" t="s">
        <v>32</v>
      </c>
      <c r="G146" t="s">
        <v>402</v>
      </c>
      <c r="H146" t="s">
        <v>36</v>
      </c>
      <c r="I146" t="s">
        <v>57</v>
      </c>
      <c r="J146" t="s">
        <v>30</v>
      </c>
      <c r="K146" t="s">
        <v>33</v>
      </c>
      <c r="L146" t="s">
        <v>182</v>
      </c>
    </row>
    <row r="147" spans="1:12" x14ac:dyDescent="0.2">
      <c r="A147">
        <v>3857</v>
      </c>
      <c r="B147" t="s">
        <v>144</v>
      </c>
      <c r="C147" t="s">
        <v>19</v>
      </c>
      <c r="D147" t="s">
        <v>20</v>
      </c>
      <c r="E147">
        <v>1</v>
      </c>
      <c r="F147" t="s">
        <v>381</v>
      </c>
      <c r="G147" t="s">
        <v>402</v>
      </c>
      <c r="H147" t="s">
        <v>21</v>
      </c>
      <c r="I147" t="s">
        <v>215</v>
      </c>
      <c r="J147" t="s">
        <v>42</v>
      </c>
      <c r="K147" t="s">
        <v>17</v>
      </c>
      <c r="L147" t="s">
        <v>216</v>
      </c>
    </row>
    <row r="148" spans="1:12" x14ac:dyDescent="0.2">
      <c r="A148">
        <v>5178</v>
      </c>
      <c r="B148" t="s">
        <v>144</v>
      </c>
      <c r="C148" t="s">
        <v>19</v>
      </c>
      <c r="D148" t="s">
        <v>12</v>
      </c>
      <c r="E148">
        <v>1</v>
      </c>
      <c r="F148" t="s">
        <v>13</v>
      </c>
      <c r="G148" t="s">
        <v>391</v>
      </c>
      <c r="H148" t="s">
        <v>21</v>
      </c>
      <c r="I148" t="s">
        <v>61</v>
      </c>
      <c r="J148" t="s">
        <v>30</v>
      </c>
      <c r="K148" t="s">
        <v>26</v>
      </c>
      <c r="L148" t="s">
        <v>125</v>
      </c>
    </row>
    <row r="149" spans="1:12" x14ac:dyDescent="0.2">
      <c r="A149">
        <v>1955</v>
      </c>
      <c r="B149" t="s">
        <v>144</v>
      </c>
      <c r="C149" t="s">
        <v>12</v>
      </c>
      <c r="D149" t="s">
        <v>12</v>
      </c>
      <c r="E149">
        <v>0</v>
      </c>
      <c r="F149" t="s">
        <v>32</v>
      </c>
      <c r="G149" t="s">
        <v>420</v>
      </c>
      <c r="H149" t="s">
        <v>14</v>
      </c>
      <c r="I149" t="s">
        <v>78</v>
      </c>
      <c r="J149" t="s">
        <v>30</v>
      </c>
      <c r="K149" t="s">
        <v>37</v>
      </c>
      <c r="L149" t="s">
        <v>206</v>
      </c>
    </row>
    <row r="150" spans="1:12" x14ac:dyDescent="0.2">
      <c r="A150">
        <v>2086</v>
      </c>
      <c r="B150" t="s">
        <v>144</v>
      </c>
      <c r="C150" t="s">
        <v>12</v>
      </c>
      <c r="D150" t="s">
        <v>12</v>
      </c>
      <c r="E150">
        <v>0</v>
      </c>
      <c r="F150" t="s">
        <v>382</v>
      </c>
      <c r="G150" t="s">
        <v>402</v>
      </c>
      <c r="H150" t="s">
        <v>36</v>
      </c>
      <c r="I150" t="s">
        <v>390</v>
      </c>
      <c r="J150" t="s">
        <v>25</v>
      </c>
      <c r="K150" t="s">
        <v>26</v>
      </c>
      <c r="L150" t="s">
        <v>115</v>
      </c>
    </row>
    <row r="151" spans="1:12" x14ac:dyDescent="0.2">
      <c r="A151">
        <v>6382</v>
      </c>
      <c r="B151" t="s">
        <v>144</v>
      </c>
      <c r="C151" t="s">
        <v>12</v>
      </c>
      <c r="D151" t="s">
        <v>12</v>
      </c>
      <c r="E151">
        <v>0</v>
      </c>
      <c r="F151" t="s">
        <v>13</v>
      </c>
      <c r="G151" t="s">
        <v>402</v>
      </c>
      <c r="H151" t="s">
        <v>56</v>
      </c>
      <c r="I151" t="s">
        <v>390</v>
      </c>
      <c r="J151" t="s">
        <v>36</v>
      </c>
      <c r="K151" t="s">
        <v>55</v>
      </c>
      <c r="L151" t="s">
        <v>33</v>
      </c>
    </row>
    <row r="152" spans="1:12" x14ac:dyDescent="0.2">
      <c r="A152">
        <v>3146</v>
      </c>
      <c r="B152" t="s">
        <v>144</v>
      </c>
      <c r="C152" t="s">
        <v>12</v>
      </c>
      <c r="D152" t="s">
        <v>12</v>
      </c>
      <c r="E152">
        <v>0</v>
      </c>
      <c r="F152" t="s">
        <v>382</v>
      </c>
      <c r="G152" t="s">
        <v>402</v>
      </c>
      <c r="H152" t="s">
        <v>14</v>
      </c>
      <c r="I152" t="s">
        <v>390</v>
      </c>
      <c r="J152" t="s">
        <v>36</v>
      </c>
      <c r="K152" t="s">
        <v>17</v>
      </c>
      <c r="L152" t="s">
        <v>31</v>
      </c>
    </row>
    <row r="153" spans="1:12" x14ac:dyDescent="0.2">
      <c r="A153">
        <v>5893</v>
      </c>
      <c r="B153" t="s">
        <v>144</v>
      </c>
      <c r="C153" t="s">
        <v>12</v>
      </c>
      <c r="D153" t="s">
        <v>12</v>
      </c>
      <c r="E153">
        <v>0</v>
      </c>
      <c r="F153" t="s">
        <v>32</v>
      </c>
      <c r="G153" t="s">
        <v>420</v>
      </c>
      <c r="H153" t="s">
        <v>56</v>
      </c>
      <c r="I153" t="s">
        <v>390</v>
      </c>
      <c r="J153" t="s">
        <v>36</v>
      </c>
      <c r="K153" t="s">
        <v>33</v>
      </c>
      <c r="L153" t="s">
        <v>217</v>
      </c>
    </row>
    <row r="154" spans="1:12" x14ac:dyDescent="0.2">
      <c r="A154">
        <v>10177</v>
      </c>
      <c r="B154" t="s">
        <v>144</v>
      </c>
      <c r="C154" t="s">
        <v>12</v>
      </c>
      <c r="D154" t="s">
        <v>12</v>
      </c>
      <c r="E154">
        <v>0</v>
      </c>
      <c r="F154" t="s">
        <v>13</v>
      </c>
      <c r="G154" t="s">
        <v>391</v>
      </c>
      <c r="H154" t="s">
        <v>28</v>
      </c>
      <c r="I154" t="s">
        <v>24</v>
      </c>
      <c r="J154" t="s">
        <v>25</v>
      </c>
      <c r="K154" t="s">
        <v>37</v>
      </c>
      <c r="L154" t="s">
        <v>67</v>
      </c>
    </row>
    <row r="155" spans="1:12" x14ac:dyDescent="0.2">
      <c r="A155">
        <v>6126</v>
      </c>
      <c r="B155" t="s">
        <v>144</v>
      </c>
      <c r="C155" t="s">
        <v>19</v>
      </c>
      <c r="D155" t="s">
        <v>20</v>
      </c>
      <c r="E155">
        <v>1</v>
      </c>
      <c r="F155" t="s">
        <v>381</v>
      </c>
      <c r="G155" t="s">
        <v>420</v>
      </c>
      <c r="H155" t="s">
        <v>21</v>
      </c>
      <c r="I155" t="s">
        <v>49</v>
      </c>
      <c r="J155" t="s">
        <v>36</v>
      </c>
      <c r="K155" t="s">
        <v>17</v>
      </c>
      <c r="L155" t="s">
        <v>17</v>
      </c>
    </row>
    <row r="156" spans="1:12" x14ac:dyDescent="0.2">
      <c r="A156">
        <v>1943</v>
      </c>
      <c r="B156" t="s">
        <v>144</v>
      </c>
      <c r="C156" t="s">
        <v>19</v>
      </c>
      <c r="D156" t="s">
        <v>19</v>
      </c>
      <c r="E156">
        <v>0</v>
      </c>
      <c r="F156" t="s">
        <v>382</v>
      </c>
      <c r="G156" t="s">
        <v>402</v>
      </c>
      <c r="H156" t="s">
        <v>21</v>
      </c>
      <c r="I156" t="s">
        <v>201</v>
      </c>
      <c r="J156" t="s">
        <v>30</v>
      </c>
      <c r="K156" t="s">
        <v>26</v>
      </c>
      <c r="L156" t="s">
        <v>53</v>
      </c>
    </row>
    <row r="157" spans="1:12" x14ac:dyDescent="0.2">
      <c r="A157">
        <v>6413</v>
      </c>
      <c r="B157" t="s">
        <v>144</v>
      </c>
      <c r="C157" t="s">
        <v>12</v>
      </c>
      <c r="D157" t="s">
        <v>12</v>
      </c>
      <c r="E157">
        <v>0</v>
      </c>
      <c r="F157" t="s">
        <v>13</v>
      </c>
      <c r="G157" t="s">
        <v>396</v>
      </c>
      <c r="H157" t="s">
        <v>28</v>
      </c>
      <c r="I157" t="s">
        <v>113</v>
      </c>
      <c r="J157" t="s">
        <v>42</v>
      </c>
      <c r="K157" t="s">
        <v>83</v>
      </c>
      <c r="L157" t="s">
        <v>177</v>
      </c>
    </row>
    <row r="158" spans="1:12" x14ac:dyDescent="0.2">
      <c r="A158">
        <v>9293</v>
      </c>
      <c r="B158" t="s">
        <v>144</v>
      </c>
      <c r="C158" t="s">
        <v>12</v>
      </c>
      <c r="D158" t="s">
        <v>12</v>
      </c>
      <c r="E158">
        <v>0</v>
      </c>
      <c r="F158" t="s">
        <v>13</v>
      </c>
      <c r="G158" t="s">
        <v>420</v>
      </c>
      <c r="H158" t="s">
        <v>21</v>
      </c>
      <c r="I158" t="s">
        <v>57</v>
      </c>
      <c r="J158" t="s">
        <v>30</v>
      </c>
      <c r="K158" t="s">
        <v>33</v>
      </c>
      <c r="L158" t="s">
        <v>218</v>
      </c>
    </row>
    <row r="159" spans="1:12" x14ac:dyDescent="0.2">
      <c r="A159">
        <v>1844</v>
      </c>
      <c r="B159" t="s">
        <v>144</v>
      </c>
      <c r="C159" t="s">
        <v>12</v>
      </c>
      <c r="D159" t="s">
        <v>12</v>
      </c>
      <c r="E159">
        <v>0</v>
      </c>
      <c r="F159" t="s">
        <v>13</v>
      </c>
      <c r="G159" t="s">
        <v>396</v>
      </c>
      <c r="H159" t="s">
        <v>14</v>
      </c>
      <c r="I159" t="s">
        <v>78</v>
      </c>
      <c r="J159" t="s">
        <v>30</v>
      </c>
      <c r="K159" t="s">
        <v>26</v>
      </c>
      <c r="L159" t="s">
        <v>219</v>
      </c>
    </row>
    <row r="160" spans="1:12" x14ac:dyDescent="0.2">
      <c r="A160">
        <v>2483</v>
      </c>
      <c r="B160" t="s">
        <v>144</v>
      </c>
      <c r="C160" t="s">
        <v>19</v>
      </c>
      <c r="D160" t="s">
        <v>12</v>
      </c>
      <c r="E160">
        <v>1</v>
      </c>
      <c r="F160" t="s">
        <v>13</v>
      </c>
      <c r="G160" t="s">
        <v>428</v>
      </c>
      <c r="H160" t="s">
        <v>56</v>
      </c>
      <c r="I160" t="s">
        <v>390</v>
      </c>
      <c r="J160" t="s">
        <v>16</v>
      </c>
      <c r="K160" t="s">
        <v>17</v>
      </c>
      <c r="L160" t="s">
        <v>33</v>
      </c>
    </row>
    <row r="161" spans="1:12" x14ac:dyDescent="0.2">
      <c r="A161">
        <v>6007</v>
      </c>
      <c r="B161" t="s">
        <v>144</v>
      </c>
      <c r="C161" t="s">
        <v>12</v>
      </c>
      <c r="D161" t="s">
        <v>12</v>
      </c>
      <c r="E161">
        <v>0</v>
      </c>
      <c r="F161" t="s">
        <v>13</v>
      </c>
      <c r="G161" t="s">
        <v>402</v>
      </c>
      <c r="H161" t="s">
        <v>28</v>
      </c>
      <c r="I161" t="s">
        <v>390</v>
      </c>
      <c r="J161" t="s">
        <v>30</v>
      </c>
      <c r="K161" t="s">
        <v>17</v>
      </c>
      <c r="L161" t="s">
        <v>17</v>
      </c>
    </row>
    <row r="162" spans="1:12" x14ac:dyDescent="0.2">
      <c r="A162">
        <v>5312</v>
      </c>
      <c r="B162" t="s">
        <v>144</v>
      </c>
      <c r="C162" t="s">
        <v>12</v>
      </c>
      <c r="D162" t="s">
        <v>12</v>
      </c>
      <c r="E162">
        <v>0</v>
      </c>
      <c r="F162" t="s">
        <v>13</v>
      </c>
      <c r="G162" t="s">
        <v>402</v>
      </c>
      <c r="H162" t="s">
        <v>28</v>
      </c>
      <c r="I162" t="s">
        <v>61</v>
      </c>
      <c r="J162" t="s">
        <v>30</v>
      </c>
      <c r="K162" t="s">
        <v>83</v>
      </c>
      <c r="L162" t="s">
        <v>117</v>
      </c>
    </row>
    <row r="163" spans="1:12" x14ac:dyDescent="0.2">
      <c r="A163">
        <v>9456</v>
      </c>
      <c r="B163" t="s">
        <v>144</v>
      </c>
      <c r="C163" t="s">
        <v>12</v>
      </c>
      <c r="D163" t="s">
        <v>12</v>
      </c>
      <c r="E163">
        <v>0</v>
      </c>
      <c r="F163" t="s">
        <v>13</v>
      </c>
      <c r="G163" t="s">
        <v>402</v>
      </c>
      <c r="H163" t="s">
        <v>28</v>
      </c>
      <c r="I163" t="s">
        <v>24</v>
      </c>
      <c r="J163" t="s">
        <v>25</v>
      </c>
      <c r="K163" t="s">
        <v>83</v>
      </c>
      <c r="L163" t="s">
        <v>220</v>
      </c>
    </row>
    <row r="164" spans="1:12" x14ac:dyDescent="0.2">
      <c r="A164">
        <v>9745</v>
      </c>
      <c r="B164" t="s">
        <v>144</v>
      </c>
      <c r="C164" t="s">
        <v>12</v>
      </c>
      <c r="D164" t="s">
        <v>12</v>
      </c>
      <c r="E164">
        <v>0</v>
      </c>
      <c r="F164" t="s">
        <v>13</v>
      </c>
      <c r="G164" t="s">
        <v>420</v>
      </c>
      <c r="H164" t="s">
        <v>14</v>
      </c>
      <c r="I164" t="s">
        <v>118</v>
      </c>
      <c r="J164" t="s">
        <v>25</v>
      </c>
      <c r="K164" t="s">
        <v>37</v>
      </c>
      <c r="L164" t="s">
        <v>221</v>
      </c>
    </row>
    <row r="165" spans="1:12" x14ac:dyDescent="0.2">
      <c r="A165">
        <v>4750</v>
      </c>
      <c r="B165" t="s">
        <v>144</v>
      </c>
      <c r="C165" t="s">
        <v>12</v>
      </c>
      <c r="D165" t="s">
        <v>12</v>
      </c>
      <c r="E165">
        <v>0</v>
      </c>
      <c r="F165" t="s">
        <v>13</v>
      </c>
      <c r="G165" t="s">
        <v>396</v>
      </c>
      <c r="H165" t="s">
        <v>28</v>
      </c>
      <c r="I165" t="s">
        <v>390</v>
      </c>
      <c r="J165" t="s">
        <v>30</v>
      </c>
      <c r="K165" t="s">
        <v>83</v>
      </c>
      <c r="L165" t="s">
        <v>222</v>
      </c>
    </row>
    <row r="166" spans="1:12" x14ac:dyDescent="0.2">
      <c r="A166">
        <v>6522</v>
      </c>
      <c r="B166" t="s">
        <v>144</v>
      </c>
      <c r="C166" t="s">
        <v>12</v>
      </c>
      <c r="D166" t="s">
        <v>12</v>
      </c>
      <c r="E166">
        <v>0</v>
      </c>
      <c r="F166" t="s">
        <v>382</v>
      </c>
      <c r="G166" t="s">
        <v>420</v>
      </c>
      <c r="H166" t="s">
        <v>14</v>
      </c>
      <c r="I166" t="s">
        <v>390</v>
      </c>
      <c r="J166" t="s">
        <v>30</v>
      </c>
      <c r="K166" t="s">
        <v>17</v>
      </c>
      <c r="L166" t="s">
        <v>163</v>
      </c>
    </row>
    <row r="167" spans="1:12" x14ac:dyDescent="0.2">
      <c r="A167">
        <v>2343</v>
      </c>
      <c r="B167" t="s">
        <v>144</v>
      </c>
      <c r="C167" t="s">
        <v>19</v>
      </c>
      <c r="D167" t="s">
        <v>20</v>
      </c>
      <c r="E167">
        <v>1</v>
      </c>
      <c r="F167" t="s">
        <v>381</v>
      </c>
      <c r="G167" t="s">
        <v>420</v>
      </c>
      <c r="H167" t="s">
        <v>21</v>
      </c>
      <c r="I167" t="s">
        <v>390</v>
      </c>
      <c r="J167" t="s">
        <v>23</v>
      </c>
      <c r="K167" t="s">
        <v>17</v>
      </c>
      <c r="L167" t="s">
        <v>55</v>
      </c>
    </row>
    <row r="168" spans="1:12" x14ac:dyDescent="0.2">
      <c r="A168">
        <v>9730</v>
      </c>
      <c r="B168" t="s">
        <v>144</v>
      </c>
      <c r="C168" t="s">
        <v>12</v>
      </c>
      <c r="D168" t="s">
        <v>12</v>
      </c>
      <c r="E168">
        <v>0</v>
      </c>
      <c r="F168" t="s">
        <v>13</v>
      </c>
      <c r="G168" t="s">
        <v>419</v>
      </c>
      <c r="H168" t="s">
        <v>36</v>
      </c>
      <c r="I168" t="s">
        <v>390</v>
      </c>
      <c r="J168" t="s">
        <v>36</v>
      </c>
      <c r="K168" t="s">
        <v>37</v>
      </c>
      <c r="L168" t="s">
        <v>67</v>
      </c>
    </row>
    <row r="169" spans="1:12" x14ac:dyDescent="0.2">
      <c r="A169">
        <v>2000</v>
      </c>
      <c r="B169" t="s">
        <v>144</v>
      </c>
      <c r="C169" t="s">
        <v>19</v>
      </c>
      <c r="D169" t="s">
        <v>20</v>
      </c>
      <c r="E169">
        <v>1</v>
      </c>
      <c r="F169" t="s">
        <v>381</v>
      </c>
      <c r="G169" t="s">
        <v>420</v>
      </c>
      <c r="H169" t="s">
        <v>21</v>
      </c>
      <c r="I169" t="s">
        <v>80</v>
      </c>
      <c r="J169" t="s">
        <v>23</v>
      </c>
      <c r="K169" t="s">
        <v>17</v>
      </c>
      <c r="L169" t="s">
        <v>148</v>
      </c>
    </row>
    <row r="170" spans="1:12" x14ac:dyDescent="0.2">
      <c r="A170">
        <v>3329</v>
      </c>
      <c r="B170" t="s">
        <v>144</v>
      </c>
      <c r="C170" t="s">
        <v>12</v>
      </c>
      <c r="D170" t="s">
        <v>20</v>
      </c>
      <c r="E170">
        <v>1</v>
      </c>
      <c r="F170" t="s">
        <v>381</v>
      </c>
      <c r="G170" t="s">
        <v>428</v>
      </c>
      <c r="H170" t="s">
        <v>21</v>
      </c>
      <c r="I170" t="s">
        <v>73</v>
      </c>
      <c r="J170" t="s">
        <v>25</v>
      </c>
      <c r="K170" t="s">
        <v>26</v>
      </c>
      <c r="L170" t="s">
        <v>37</v>
      </c>
    </row>
    <row r="171" spans="1:12" x14ac:dyDescent="0.2">
      <c r="A171">
        <v>7837</v>
      </c>
      <c r="B171" t="s">
        <v>144</v>
      </c>
      <c r="C171" t="s">
        <v>12</v>
      </c>
      <c r="D171" t="s">
        <v>12</v>
      </c>
      <c r="E171">
        <v>0</v>
      </c>
      <c r="F171" t="s">
        <v>381</v>
      </c>
      <c r="G171" t="s">
        <v>402</v>
      </c>
      <c r="H171" t="s">
        <v>28</v>
      </c>
      <c r="I171" t="s">
        <v>390</v>
      </c>
      <c r="J171" t="s">
        <v>30</v>
      </c>
      <c r="K171" t="s">
        <v>17</v>
      </c>
      <c r="L171" t="s">
        <v>223</v>
      </c>
    </row>
    <row r="172" spans="1:12" x14ac:dyDescent="0.2">
      <c r="A172">
        <v>8919</v>
      </c>
      <c r="B172" t="s">
        <v>144</v>
      </c>
      <c r="C172" t="s">
        <v>19</v>
      </c>
      <c r="D172" t="s">
        <v>20</v>
      </c>
      <c r="E172">
        <v>1</v>
      </c>
      <c r="F172" t="s">
        <v>381</v>
      </c>
      <c r="G172" t="s">
        <v>420</v>
      </c>
      <c r="H172" t="s">
        <v>21</v>
      </c>
      <c r="I172" t="s">
        <v>85</v>
      </c>
      <c r="J172" t="s">
        <v>16</v>
      </c>
      <c r="K172" t="s">
        <v>17</v>
      </c>
      <c r="L172" t="s">
        <v>63</v>
      </c>
    </row>
    <row r="173" spans="1:12" x14ac:dyDescent="0.2">
      <c r="A173">
        <v>10164</v>
      </c>
      <c r="B173" t="s">
        <v>144</v>
      </c>
      <c r="C173" t="s">
        <v>12</v>
      </c>
      <c r="D173" t="s">
        <v>12</v>
      </c>
      <c r="E173">
        <v>0</v>
      </c>
      <c r="F173" t="s">
        <v>13</v>
      </c>
      <c r="G173" t="s">
        <v>402</v>
      </c>
      <c r="H173" t="s">
        <v>28</v>
      </c>
      <c r="I173" t="s">
        <v>24</v>
      </c>
      <c r="J173" t="s">
        <v>36</v>
      </c>
      <c r="K173" t="s">
        <v>63</v>
      </c>
      <c r="L173" t="s">
        <v>224</v>
      </c>
    </row>
    <row r="174" spans="1:12" x14ac:dyDescent="0.2">
      <c r="A174">
        <v>4086</v>
      </c>
      <c r="B174" t="s">
        <v>144</v>
      </c>
      <c r="C174" t="s">
        <v>19</v>
      </c>
      <c r="D174" t="s">
        <v>19</v>
      </c>
      <c r="E174">
        <v>0</v>
      </c>
      <c r="F174" t="s">
        <v>382</v>
      </c>
      <c r="G174" t="s">
        <v>391</v>
      </c>
      <c r="H174" t="s">
        <v>21</v>
      </c>
      <c r="I174" t="s">
        <v>121</v>
      </c>
      <c r="J174" t="s">
        <v>25</v>
      </c>
      <c r="K174" t="s">
        <v>63</v>
      </c>
      <c r="L174" t="s">
        <v>145</v>
      </c>
    </row>
    <row r="175" spans="1:12" x14ac:dyDescent="0.2">
      <c r="A175">
        <v>10166</v>
      </c>
      <c r="B175" t="s">
        <v>144</v>
      </c>
      <c r="C175" t="s">
        <v>12</v>
      </c>
      <c r="D175" t="s">
        <v>12</v>
      </c>
      <c r="E175">
        <v>0</v>
      </c>
      <c r="F175" t="s">
        <v>13</v>
      </c>
      <c r="G175" t="s">
        <v>402</v>
      </c>
      <c r="H175" t="s">
        <v>28</v>
      </c>
      <c r="I175" t="s">
        <v>24</v>
      </c>
      <c r="J175" t="s">
        <v>36</v>
      </c>
      <c r="K175" t="s">
        <v>26</v>
      </c>
      <c r="L175" t="s">
        <v>225</v>
      </c>
    </row>
    <row r="176" spans="1:12" x14ac:dyDescent="0.2">
      <c r="A176">
        <v>10014</v>
      </c>
      <c r="B176" t="s">
        <v>144</v>
      </c>
      <c r="C176" t="s">
        <v>12</v>
      </c>
      <c r="D176" t="s">
        <v>12</v>
      </c>
      <c r="E176">
        <v>0</v>
      </c>
      <c r="F176" t="s">
        <v>13</v>
      </c>
      <c r="G176" t="s">
        <v>402</v>
      </c>
      <c r="H176" t="s">
        <v>28</v>
      </c>
      <c r="I176" t="s">
        <v>24</v>
      </c>
      <c r="J176" t="s">
        <v>25</v>
      </c>
      <c r="K176" t="s">
        <v>37</v>
      </c>
      <c r="L176" t="s">
        <v>226</v>
      </c>
    </row>
    <row r="177" spans="1:12" x14ac:dyDescent="0.2">
      <c r="A177">
        <v>6026</v>
      </c>
      <c r="B177" t="s">
        <v>144</v>
      </c>
      <c r="C177" t="s">
        <v>12</v>
      </c>
      <c r="D177" t="s">
        <v>12</v>
      </c>
      <c r="E177">
        <v>0</v>
      </c>
      <c r="F177" t="s">
        <v>381</v>
      </c>
      <c r="G177" t="s">
        <v>402</v>
      </c>
      <c r="H177" t="s">
        <v>14</v>
      </c>
      <c r="I177" t="s">
        <v>50</v>
      </c>
      <c r="J177" t="s">
        <v>51</v>
      </c>
      <c r="K177" t="s">
        <v>17</v>
      </c>
      <c r="L177" t="s">
        <v>145</v>
      </c>
    </row>
    <row r="178" spans="1:12" x14ac:dyDescent="0.2">
      <c r="A178">
        <v>7788</v>
      </c>
      <c r="B178" t="s">
        <v>144</v>
      </c>
      <c r="C178" t="s">
        <v>12</v>
      </c>
      <c r="D178" t="s">
        <v>12</v>
      </c>
      <c r="E178">
        <v>0</v>
      </c>
      <c r="F178" t="s">
        <v>13</v>
      </c>
      <c r="G178" t="s">
        <v>391</v>
      </c>
      <c r="H178" t="s">
        <v>56</v>
      </c>
      <c r="I178" t="s">
        <v>390</v>
      </c>
      <c r="J178" t="s">
        <v>36</v>
      </c>
      <c r="K178" t="s">
        <v>17</v>
      </c>
      <c r="L178" t="s">
        <v>227</v>
      </c>
    </row>
    <row r="179" spans="1:12" x14ac:dyDescent="0.2">
      <c r="A179">
        <v>273</v>
      </c>
      <c r="B179" t="s">
        <v>144</v>
      </c>
      <c r="C179" t="s">
        <v>19</v>
      </c>
      <c r="D179" t="s">
        <v>20</v>
      </c>
      <c r="E179">
        <v>1</v>
      </c>
      <c r="F179" t="s">
        <v>381</v>
      </c>
      <c r="G179" t="s">
        <v>402</v>
      </c>
      <c r="H179" t="s">
        <v>21</v>
      </c>
      <c r="I179" t="s">
        <v>228</v>
      </c>
      <c r="J179" t="s">
        <v>23</v>
      </c>
      <c r="K179" t="s">
        <v>17</v>
      </c>
      <c r="L179" t="s">
        <v>39</v>
      </c>
    </row>
    <row r="180" spans="1:12" x14ac:dyDescent="0.2">
      <c r="A180">
        <v>3253</v>
      </c>
      <c r="B180" t="s">
        <v>144</v>
      </c>
      <c r="C180" t="s">
        <v>12</v>
      </c>
      <c r="D180" t="s">
        <v>12</v>
      </c>
      <c r="E180">
        <v>0</v>
      </c>
      <c r="F180" t="s">
        <v>13</v>
      </c>
      <c r="G180" t="s">
        <v>391</v>
      </c>
      <c r="H180" t="s">
        <v>28</v>
      </c>
      <c r="I180" t="s">
        <v>390</v>
      </c>
      <c r="J180" t="s">
        <v>36</v>
      </c>
      <c r="K180" t="s">
        <v>55</v>
      </c>
      <c r="L180" t="s">
        <v>48</v>
      </c>
    </row>
    <row r="181" spans="1:12" x14ac:dyDescent="0.2">
      <c r="A181">
        <v>1058</v>
      </c>
      <c r="B181" t="s">
        <v>144</v>
      </c>
      <c r="C181" t="s">
        <v>12</v>
      </c>
      <c r="D181" t="s">
        <v>12</v>
      </c>
      <c r="E181">
        <v>0</v>
      </c>
      <c r="F181" t="s">
        <v>13</v>
      </c>
      <c r="G181" t="s">
        <v>36</v>
      </c>
      <c r="H181" t="s">
        <v>28</v>
      </c>
      <c r="I181" t="s">
        <v>229</v>
      </c>
      <c r="J181" t="s">
        <v>23</v>
      </c>
      <c r="K181" t="s">
        <v>83</v>
      </c>
      <c r="L181" t="s">
        <v>230</v>
      </c>
    </row>
    <row r="182" spans="1:12" x14ac:dyDescent="0.2">
      <c r="A182">
        <v>9561</v>
      </c>
      <c r="B182" t="s">
        <v>144</v>
      </c>
      <c r="C182" t="s">
        <v>19</v>
      </c>
      <c r="D182" t="s">
        <v>19</v>
      </c>
      <c r="E182">
        <v>0</v>
      </c>
      <c r="F182" t="s">
        <v>13</v>
      </c>
      <c r="G182" t="s">
        <v>402</v>
      </c>
      <c r="H182" t="s">
        <v>21</v>
      </c>
      <c r="I182" t="s">
        <v>24</v>
      </c>
      <c r="J182" t="s">
        <v>36</v>
      </c>
      <c r="K182" t="s">
        <v>37</v>
      </c>
      <c r="L182" t="s">
        <v>199</v>
      </c>
    </row>
    <row r="183" spans="1:12" x14ac:dyDescent="0.2">
      <c r="A183">
        <v>2838</v>
      </c>
      <c r="B183" t="s">
        <v>144</v>
      </c>
      <c r="C183" t="s">
        <v>19</v>
      </c>
      <c r="D183" t="s">
        <v>19</v>
      </c>
      <c r="E183">
        <v>0</v>
      </c>
      <c r="F183" t="s">
        <v>382</v>
      </c>
      <c r="G183" t="s">
        <v>391</v>
      </c>
      <c r="H183" t="s">
        <v>21</v>
      </c>
      <c r="I183" t="s">
        <v>82</v>
      </c>
      <c r="J183" t="s">
        <v>51</v>
      </c>
      <c r="K183" t="s">
        <v>26</v>
      </c>
      <c r="L183" t="s">
        <v>231</v>
      </c>
    </row>
    <row r="184" spans="1:12" x14ac:dyDescent="0.2">
      <c r="A184">
        <v>2180</v>
      </c>
      <c r="B184" t="s">
        <v>144</v>
      </c>
      <c r="C184" t="s">
        <v>12</v>
      </c>
      <c r="D184" t="s">
        <v>12</v>
      </c>
      <c r="E184">
        <v>0</v>
      </c>
      <c r="F184" t="s">
        <v>32</v>
      </c>
      <c r="G184" t="s">
        <v>396</v>
      </c>
      <c r="H184" t="s">
        <v>28</v>
      </c>
      <c r="I184" t="s">
        <v>127</v>
      </c>
      <c r="J184" t="s">
        <v>51</v>
      </c>
      <c r="K184" t="s">
        <v>33</v>
      </c>
      <c r="L184" t="s">
        <v>47</v>
      </c>
    </row>
    <row r="185" spans="1:12" x14ac:dyDescent="0.2">
      <c r="A185">
        <v>8397</v>
      </c>
      <c r="B185" t="s">
        <v>144</v>
      </c>
      <c r="C185" t="s">
        <v>12</v>
      </c>
      <c r="D185" t="s">
        <v>12</v>
      </c>
      <c r="E185">
        <v>0</v>
      </c>
      <c r="F185" t="s">
        <v>13</v>
      </c>
      <c r="G185" t="s">
        <v>391</v>
      </c>
      <c r="H185" t="s">
        <v>21</v>
      </c>
      <c r="I185" t="s">
        <v>57</v>
      </c>
      <c r="J185" t="s">
        <v>30</v>
      </c>
      <c r="K185" t="s">
        <v>33</v>
      </c>
      <c r="L185" t="s">
        <v>232</v>
      </c>
    </row>
    <row r="186" spans="1:12" x14ac:dyDescent="0.2">
      <c r="A186">
        <v>4136</v>
      </c>
      <c r="B186" t="s">
        <v>144</v>
      </c>
      <c r="C186" t="s">
        <v>12</v>
      </c>
      <c r="D186" t="s">
        <v>20</v>
      </c>
      <c r="E186">
        <v>1</v>
      </c>
      <c r="F186" t="s">
        <v>381</v>
      </c>
      <c r="G186" t="s">
        <v>402</v>
      </c>
      <c r="H186" t="s">
        <v>21</v>
      </c>
      <c r="I186" t="s">
        <v>49</v>
      </c>
      <c r="J186" t="s">
        <v>36</v>
      </c>
      <c r="K186" t="s">
        <v>17</v>
      </c>
      <c r="L186" t="s">
        <v>39</v>
      </c>
    </row>
    <row r="187" spans="1:12" x14ac:dyDescent="0.2">
      <c r="A187">
        <v>2917</v>
      </c>
      <c r="B187" t="s">
        <v>144</v>
      </c>
      <c r="C187" t="s">
        <v>12</v>
      </c>
      <c r="D187" t="s">
        <v>12</v>
      </c>
      <c r="E187">
        <v>0</v>
      </c>
      <c r="F187" t="s">
        <v>382</v>
      </c>
      <c r="G187" t="s">
        <v>391</v>
      </c>
      <c r="H187" t="s">
        <v>56</v>
      </c>
      <c r="I187" t="s">
        <v>49</v>
      </c>
      <c r="J187" t="s">
        <v>36</v>
      </c>
      <c r="K187" t="s">
        <v>55</v>
      </c>
      <c r="L187" t="s">
        <v>233</v>
      </c>
    </row>
    <row r="188" spans="1:12" x14ac:dyDescent="0.2">
      <c r="A188">
        <v>6737</v>
      </c>
      <c r="B188" t="s">
        <v>144</v>
      </c>
      <c r="C188" t="s">
        <v>12</v>
      </c>
      <c r="D188" t="s">
        <v>12</v>
      </c>
      <c r="E188">
        <v>0</v>
      </c>
      <c r="F188" t="s">
        <v>13</v>
      </c>
      <c r="G188" t="s">
        <v>402</v>
      </c>
      <c r="H188" t="s">
        <v>28</v>
      </c>
      <c r="I188" t="s">
        <v>61</v>
      </c>
      <c r="J188" t="s">
        <v>30</v>
      </c>
      <c r="K188" t="s">
        <v>26</v>
      </c>
      <c r="L188" t="s">
        <v>31</v>
      </c>
    </row>
    <row r="189" spans="1:12" x14ac:dyDescent="0.2">
      <c r="A189">
        <v>9366</v>
      </c>
      <c r="B189" t="s">
        <v>144</v>
      </c>
      <c r="C189" t="s">
        <v>12</v>
      </c>
      <c r="D189" t="s">
        <v>12</v>
      </c>
      <c r="E189">
        <v>0</v>
      </c>
      <c r="F189" t="s">
        <v>13</v>
      </c>
      <c r="G189" t="s">
        <v>404</v>
      </c>
      <c r="H189" t="s">
        <v>28</v>
      </c>
      <c r="I189" t="s">
        <v>24</v>
      </c>
      <c r="J189" t="s">
        <v>36</v>
      </c>
      <c r="K189" t="s">
        <v>37</v>
      </c>
      <c r="L189" t="s">
        <v>234</v>
      </c>
    </row>
    <row r="190" spans="1:12" x14ac:dyDescent="0.2">
      <c r="A190">
        <v>1758</v>
      </c>
      <c r="B190" t="s">
        <v>144</v>
      </c>
      <c r="C190" t="s">
        <v>12</v>
      </c>
      <c r="D190" t="s">
        <v>12</v>
      </c>
      <c r="E190">
        <v>0</v>
      </c>
      <c r="F190" t="s">
        <v>32</v>
      </c>
      <c r="G190" t="s">
        <v>391</v>
      </c>
      <c r="H190" t="s">
        <v>56</v>
      </c>
      <c r="I190" t="s">
        <v>124</v>
      </c>
      <c r="J190" t="s">
        <v>23</v>
      </c>
      <c r="K190" t="s">
        <v>148</v>
      </c>
      <c r="L190" t="s">
        <v>34</v>
      </c>
    </row>
    <row r="191" spans="1:12" x14ac:dyDescent="0.2">
      <c r="A191">
        <v>3675</v>
      </c>
      <c r="B191" t="s">
        <v>144</v>
      </c>
      <c r="C191" t="s">
        <v>12</v>
      </c>
      <c r="D191" t="s">
        <v>12</v>
      </c>
      <c r="E191">
        <v>0</v>
      </c>
      <c r="F191" t="s">
        <v>382</v>
      </c>
      <c r="G191" t="s">
        <v>419</v>
      </c>
      <c r="H191" t="s">
        <v>36</v>
      </c>
      <c r="I191" t="s">
        <v>127</v>
      </c>
      <c r="J191" t="s">
        <v>51</v>
      </c>
      <c r="K191" t="s">
        <v>39</v>
      </c>
      <c r="L191" t="s">
        <v>55</v>
      </c>
    </row>
    <row r="192" spans="1:12" x14ac:dyDescent="0.2">
      <c r="A192">
        <v>8509</v>
      </c>
      <c r="B192" t="s">
        <v>144</v>
      </c>
      <c r="C192" t="s">
        <v>12</v>
      </c>
      <c r="D192" t="s">
        <v>12</v>
      </c>
      <c r="E192">
        <v>0</v>
      </c>
      <c r="F192" t="s">
        <v>13</v>
      </c>
      <c r="G192" t="s">
        <v>391</v>
      </c>
      <c r="H192" t="s">
        <v>21</v>
      </c>
      <c r="I192" t="s">
        <v>57</v>
      </c>
      <c r="J192" t="s">
        <v>30</v>
      </c>
      <c r="K192" t="s">
        <v>33</v>
      </c>
      <c r="L192" t="s">
        <v>235</v>
      </c>
    </row>
    <row r="193" spans="1:12" x14ac:dyDescent="0.2">
      <c r="A193">
        <v>10239</v>
      </c>
      <c r="B193" t="s">
        <v>144</v>
      </c>
      <c r="C193" t="s">
        <v>12</v>
      </c>
      <c r="D193" t="s">
        <v>12</v>
      </c>
      <c r="E193">
        <v>0</v>
      </c>
      <c r="F193" t="s">
        <v>32</v>
      </c>
      <c r="G193" t="s">
        <v>391</v>
      </c>
      <c r="H193" t="s">
        <v>28</v>
      </c>
      <c r="I193" t="s">
        <v>29</v>
      </c>
      <c r="J193" t="s">
        <v>30</v>
      </c>
      <c r="K193" t="s">
        <v>33</v>
      </c>
      <c r="L193" t="s">
        <v>47</v>
      </c>
    </row>
    <row r="194" spans="1:12" x14ac:dyDescent="0.2">
      <c r="A194">
        <v>3159</v>
      </c>
      <c r="B194" t="s">
        <v>144</v>
      </c>
      <c r="C194" t="s">
        <v>19</v>
      </c>
      <c r="D194" t="s">
        <v>19</v>
      </c>
      <c r="E194">
        <v>0</v>
      </c>
      <c r="F194" t="s">
        <v>32</v>
      </c>
      <c r="G194" t="s">
        <v>391</v>
      </c>
      <c r="H194" t="s">
        <v>21</v>
      </c>
      <c r="I194" t="s">
        <v>50</v>
      </c>
      <c r="J194" t="s">
        <v>51</v>
      </c>
      <c r="K194" t="s">
        <v>33</v>
      </c>
      <c r="L194" t="s">
        <v>236</v>
      </c>
    </row>
    <row r="195" spans="1:12" x14ac:dyDescent="0.2">
      <c r="A195">
        <v>3908</v>
      </c>
      <c r="B195" t="s">
        <v>144</v>
      </c>
      <c r="C195" t="s">
        <v>12</v>
      </c>
      <c r="D195" t="s">
        <v>12</v>
      </c>
      <c r="E195">
        <v>0</v>
      </c>
      <c r="F195" t="s">
        <v>13</v>
      </c>
      <c r="G195" t="s">
        <v>391</v>
      </c>
      <c r="H195" t="s">
        <v>28</v>
      </c>
      <c r="I195" t="s">
        <v>49</v>
      </c>
      <c r="J195" t="s">
        <v>36</v>
      </c>
      <c r="K195" t="s">
        <v>54</v>
      </c>
      <c r="L195" t="s">
        <v>109</v>
      </c>
    </row>
    <row r="196" spans="1:12" x14ac:dyDescent="0.2">
      <c r="A196">
        <v>3968</v>
      </c>
      <c r="B196" t="s">
        <v>144</v>
      </c>
      <c r="C196" t="s">
        <v>12</v>
      </c>
      <c r="D196" t="s">
        <v>12</v>
      </c>
      <c r="E196">
        <v>0</v>
      </c>
      <c r="F196" t="s">
        <v>382</v>
      </c>
      <c r="G196" t="s">
        <v>391</v>
      </c>
      <c r="H196" t="s">
        <v>14</v>
      </c>
      <c r="I196" t="s">
        <v>129</v>
      </c>
      <c r="J196" t="s">
        <v>25</v>
      </c>
      <c r="K196" t="s">
        <v>37</v>
      </c>
      <c r="L196" t="s">
        <v>67</v>
      </c>
    </row>
    <row r="197" spans="1:12" x14ac:dyDescent="0.2">
      <c r="A197">
        <v>10136</v>
      </c>
      <c r="B197" t="s">
        <v>144</v>
      </c>
      <c r="C197" t="s">
        <v>12</v>
      </c>
      <c r="D197" t="s">
        <v>12</v>
      </c>
      <c r="E197">
        <v>0</v>
      </c>
      <c r="F197" t="s">
        <v>382</v>
      </c>
      <c r="G197" t="s">
        <v>391</v>
      </c>
      <c r="H197" t="s">
        <v>56</v>
      </c>
      <c r="I197" t="s">
        <v>390</v>
      </c>
      <c r="J197" t="s">
        <v>36</v>
      </c>
      <c r="K197" t="s">
        <v>33</v>
      </c>
      <c r="L197" t="s">
        <v>154</v>
      </c>
    </row>
    <row r="198" spans="1:12" x14ac:dyDescent="0.2">
      <c r="A198">
        <v>2508</v>
      </c>
      <c r="B198" t="s">
        <v>144</v>
      </c>
      <c r="C198" t="s">
        <v>19</v>
      </c>
      <c r="D198" t="s">
        <v>19</v>
      </c>
      <c r="E198">
        <v>0</v>
      </c>
      <c r="F198" t="s">
        <v>382</v>
      </c>
      <c r="G198" t="s">
        <v>420</v>
      </c>
      <c r="H198" t="s">
        <v>21</v>
      </c>
      <c r="I198" t="s">
        <v>57</v>
      </c>
      <c r="J198" t="s">
        <v>30</v>
      </c>
      <c r="K198" t="s">
        <v>37</v>
      </c>
      <c r="L198" t="s">
        <v>164</v>
      </c>
    </row>
    <row r="199" spans="1:12" x14ac:dyDescent="0.2">
      <c r="A199">
        <v>6988</v>
      </c>
      <c r="B199" t="s">
        <v>144</v>
      </c>
      <c r="C199" t="s">
        <v>12</v>
      </c>
      <c r="D199" t="s">
        <v>12</v>
      </c>
      <c r="E199">
        <v>0</v>
      </c>
      <c r="F199" t="s">
        <v>13</v>
      </c>
      <c r="G199" t="s">
        <v>402</v>
      </c>
      <c r="H199" t="s">
        <v>14</v>
      </c>
      <c r="I199" t="s">
        <v>130</v>
      </c>
      <c r="J199" t="s">
        <v>23</v>
      </c>
      <c r="K199" t="s">
        <v>17</v>
      </c>
      <c r="L199" t="s">
        <v>237</v>
      </c>
    </row>
    <row r="200" spans="1:12" x14ac:dyDescent="0.2">
      <c r="A200">
        <v>10151</v>
      </c>
      <c r="B200" t="s">
        <v>144</v>
      </c>
      <c r="C200" t="s">
        <v>12</v>
      </c>
      <c r="D200" t="s">
        <v>12</v>
      </c>
      <c r="E200">
        <v>0</v>
      </c>
      <c r="F200" t="s">
        <v>13</v>
      </c>
      <c r="G200" t="s">
        <v>391</v>
      </c>
      <c r="H200" t="s">
        <v>36</v>
      </c>
      <c r="I200" t="s">
        <v>390</v>
      </c>
      <c r="J200" t="s">
        <v>36</v>
      </c>
      <c r="K200" t="s">
        <v>37</v>
      </c>
      <c r="L200" t="s">
        <v>238</v>
      </c>
    </row>
    <row r="201" spans="1:12" x14ac:dyDescent="0.2">
      <c r="A201">
        <v>6168</v>
      </c>
      <c r="B201" t="s">
        <v>144</v>
      </c>
      <c r="C201" t="s">
        <v>12</v>
      </c>
      <c r="D201" t="s">
        <v>20</v>
      </c>
      <c r="E201">
        <v>1</v>
      </c>
      <c r="F201" t="s">
        <v>381</v>
      </c>
      <c r="G201" t="s">
        <v>391</v>
      </c>
      <c r="H201" t="s">
        <v>21</v>
      </c>
      <c r="I201" t="s">
        <v>390</v>
      </c>
      <c r="J201" t="s">
        <v>23</v>
      </c>
      <c r="K201" t="s">
        <v>17</v>
      </c>
      <c r="L201" t="s">
        <v>186</v>
      </c>
    </row>
    <row r="202" spans="1:12" x14ac:dyDescent="0.2">
      <c r="A202">
        <v>777</v>
      </c>
      <c r="B202" t="s">
        <v>144</v>
      </c>
      <c r="C202" t="s">
        <v>12</v>
      </c>
      <c r="D202" t="s">
        <v>12</v>
      </c>
      <c r="E202">
        <v>0</v>
      </c>
      <c r="F202" t="s">
        <v>13</v>
      </c>
      <c r="G202" t="s">
        <v>391</v>
      </c>
      <c r="H202" t="s">
        <v>14</v>
      </c>
      <c r="I202" t="s">
        <v>50</v>
      </c>
      <c r="J202" t="s">
        <v>51</v>
      </c>
      <c r="K202" t="s">
        <v>26</v>
      </c>
      <c r="L202" t="s">
        <v>239</v>
      </c>
    </row>
    <row r="203" spans="1:12" x14ac:dyDescent="0.2">
      <c r="A203">
        <v>2522</v>
      </c>
      <c r="B203" t="s">
        <v>144</v>
      </c>
      <c r="C203" t="s">
        <v>12</v>
      </c>
      <c r="D203" t="s">
        <v>12</v>
      </c>
      <c r="E203">
        <v>0</v>
      </c>
      <c r="F203" t="s">
        <v>13</v>
      </c>
      <c r="G203" t="s">
        <v>391</v>
      </c>
      <c r="H203" t="s">
        <v>28</v>
      </c>
      <c r="I203" t="s">
        <v>78</v>
      </c>
      <c r="J203" t="s">
        <v>30</v>
      </c>
      <c r="K203" t="s">
        <v>26</v>
      </c>
      <c r="L203" t="s">
        <v>77</v>
      </c>
    </row>
    <row r="204" spans="1:12" x14ac:dyDescent="0.2">
      <c r="A204">
        <v>1485</v>
      </c>
      <c r="B204" t="s">
        <v>144</v>
      </c>
      <c r="C204" t="s">
        <v>12</v>
      </c>
      <c r="D204" t="s">
        <v>12</v>
      </c>
      <c r="E204">
        <v>0</v>
      </c>
      <c r="F204" t="s">
        <v>13</v>
      </c>
      <c r="G204" t="s">
        <v>391</v>
      </c>
      <c r="H204" t="s">
        <v>14</v>
      </c>
      <c r="I204" t="s">
        <v>390</v>
      </c>
      <c r="J204" t="s">
        <v>51</v>
      </c>
      <c r="K204" t="s">
        <v>47</v>
      </c>
      <c r="L204" t="s">
        <v>240</v>
      </c>
    </row>
    <row r="205" spans="1:12" x14ac:dyDescent="0.2">
      <c r="A205">
        <v>9447</v>
      </c>
      <c r="B205" t="s">
        <v>144</v>
      </c>
      <c r="C205" t="s">
        <v>12</v>
      </c>
      <c r="D205" t="s">
        <v>12</v>
      </c>
      <c r="E205">
        <v>0</v>
      </c>
      <c r="F205" t="s">
        <v>13</v>
      </c>
      <c r="G205" t="s">
        <v>391</v>
      </c>
      <c r="H205" t="s">
        <v>28</v>
      </c>
      <c r="I205" t="s">
        <v>24</v>
      </c>
      <c r="J205" t="s">
        <v>25</v>
      </c>
      <c r="K205" t="s">
        <v>37</v>
      </c>
      <c r="L205" t="s">
        <v>172</v>
      </c>
    </row>
    <row r="206" spans="1:12" x14ac:dyDescent="0.2">
      <c r="A206">
        <v>4865</v>
      </c>
      <c r="B206" t="s">
        <v>144</v>
      </c>
      <c r="C206" t="s">
        <v>19</v>
      </c>
      <c r="D206" t="s">
        <v>19</v>
      </c>
      <c r="E206">
        <v>0</v>
      </c>
      <c r="F206" t="s">
        <v>13</v>
      </c>
      <c r="G206" t="s">
        <v>391</v>
      </c>
      <c r="H206" t="s">
        <v>21</v>
      </c>
      <c r="I206" t="s">
        <v>80</v>
      </c>
      <c r="J206" t="s">
        <v>23</v>
      </c>
      <c r="K206" t="s">
        <v>33</v>
      </c>
      <c r="L206" t="s">
        <v>227</v>
      </c>
    </row>
    <row r="207" spans="1:12" x14ac:dyDescent="0.2">
      <c r="A207">
        <v>5800</v>
      </c>
      <c r="B207" t="s">
        <v>144</v>
      </c>
      <c r="C207" t="s">
        <v>19</v>
      </c>
      <c r="D207" t="s">
        <v>19</v>
      </c>
      <c r="E207">
        <v>0</v>
      </c>
      <c r="F207" t="s">
        <v>381</v>
      </c>
      <c r="G207" t="s">
        <v>36</v>
      </c>
      <c r="H207" t="s">
        <v>21</v>
      </c>
      <c r="I207" t="s">
        <v>390</v>
      </c>
      <c r="J207" t="s">
        <v>30</v>
      </c>
      <c r="K207" t="s">
        <v>17</v>
      </c>
      <c r="L207" t="s">
        <v>55</v>
      </c>
    </row>
    <row r="208" spans="1:12" x14ac:dyDescent="0.2">
      <c r="A208">
        <v>5476</v>
      </c>
      <c r="B208" t="s">
        <v>144</v>
      </c>
      <c r="C208" t="s">
        <v>12</v>
      </c>
      <c r="D208" t="s">
        <v>12</v>
      </c>
      <c r="E208">
        <v>0</v>
      </c>
      <c r="F208" t="s">
        <v>382</v>
      </c>
      <c r="G208" t="s">
        <v>391</v>
      </c>
      <c r="H208" t="s">
        <v>14</v>
      </c>
      <c r="I208" t="s">
        <v>390</v>
      </c>
      <c r="J208" t="s">
        <v>36</v>
      </c>
      <c r="K208" t="s">
        <v>55</v>
      </c>
      <c r="L208" t="s">
        <v>241</v>
      </c>
    </row>
    <row r="209" spans="1:12" x14ac:dyDescent="0.2">
      <c r="A209">
        <v>6315</v>
      </c>
      <c r="B209" t="s">
        <v>144</v>
      </c>
      <c r="C209" t="s">
        <v>19</v>
      </c>
      <c r="D209" t="s">
        <v>19</v>
      </c>
      <c r="E209">
        <v>0</v>
      </c>
      <c r="F209" t="s">
        <v>382</v>
      </c>
      <c r="G209" t="s">
        <v>391</v>
      </c>
      <c r="H209" t="s">
        <v>21</v>
      </c>
      <c r="I209" t="s">
        <v>390</v>
      </c>
      <c r="J209" t="s">
        <v>55</v>
      </c>
      <c r="K209" t="s">
        <v>55</v>
      </c>
      <c r="L209" t="s">
        <v>190</v>
      </c>
    </row>
    <row r="210" spans="1:12" x14ac:dyDescent="0.2">
      <c r="A210">
        <v>8159</v>
      </c>
      <c r="B210" t="s">
        <v>144</v>
      </c>
      <c r="C210" t="s">
        <v>12</v>
      </c>
      <c r="D210" t="s">
        <v>12</v>
      </c>
      <c r="E210">
        <v>0</v>
      </c>
      <c r="F210" t="s">
        <v>13</v>
      </c>
      <c r="G210" t="s">
        <v>391</v>
      </c>
      <c r="H210" t="s">
        <v>28</v>
      </c>
      <c r="I210" t="s">
        <v>61</v>
      </c>
      <c r="J210" t="s">
        <v>30</v>
      </c>
      <c r="K210" t="s">
        <v>83</v>
      </c>
      <c r="L210" t="s">
        <v>125</v>
      </c>
    </row>
    <row r="211" spans="1:12" x14ac:dyDescent="0.2">
      <c r="A211">
        <v>1975</v>
      </c>
      <c r="B211" t="s">
        <v>144</v>
      </c>
      <c r="C211" t="s">
        <v>12</v>
      </c>
      <c r="D211" t="s">
        <v>12</v>
      </c>
      <c r="E211">
        <v>0</v>
      </c>
      <c r="F211" t="s">
        <v>13</v>
      </c>
      <c r="G211" t="s">
        <v>391</v>
      </c>
      <c r="H211" t="s">
        <v>28</v>
      </c>
      <c r="I211" t="s">
        <v>68</v>
      </c>
      <c r="J211" t="s">
        <v>42</v>
      </c>
      <c r="K211" t="s">
        <v>26</v>
      </c>
      <c r="L211" t="s">
        <v>242</v>
      </c>
    </row>
    <row r="212" spans="1:12" x14ac:dyDescent="0.2">
      <c r="A212">
        <v>3570</v>
      </c>
      <c r="B212" t="s">
        <v>144</v>
      </c>
      <c r="C212" t="s">
        <v>19</v>
      </c>
      <c r="D212" t="s">
        <v>20</v>
      </c>
      <c r="E212">
        <v>1</v>
      </c>
      <c r="F212" t="s">
        <v>381</v>
      </c>
      <c r="G212" t="s">
        <v>36</v>
      </c>
      <c r="H212" t="s">
        <v>21</v>
      </c>
      <c r="I212" t="s">
        <v>29</v>
      </c>
      <c r="J212" t="s">
        <v>30</v>
      </c>
      <c r="K212" t="s">
        <v>17</v>
      </c>
      <c r="L212" t="s">
        <v>39</v>
      </c>
    </row>
    <row r="213" spans="1:12" x14ac:dyDescent="0.2">
      <c r="A213">
        <v>10182</v>
      </c>
      <c r="B213" t="s">
        <v>144</v>
      </c>
      <c r="C213" t="s">
        <v>12</v>
      </c>
      <c r="D213" t="s">
        <v>12</v>
      </c>
      <c r="E213">
        <v>0</v>
      </c>
      <c r="F213" t="s">
        <v>13</v>
      </c>
      <c r="G213" t="s">
        <v>391</v>
      </c>
      <c r="H213" t="s">
        <v>28</v>
      </c>
      <c r="I213" t="s">
        <v>24</v>
      </c>
      <c r="J213" t="s">
        <v>25</v>
      </c>
      <c r="K213" t="s">
        <v>37</v>
      </c>
      <c r="L213" t="s">
        <v>109</v>
      </c>
    </row>
    <row r="214" spans="1:12" x14ac:dyDescent="0.2">
      <c r="A214">
        <v>3377</v>
      </c>
      <c r="B214" t="s">
        <v>144</v>
      </c>
      <c r="C214" t="s">
        <v>12</v>
      </c>
      <c r="D214" t="s">
        <v>12</v>
      </c>
      <c r="E214">
        <v>0</v>
      </c>
      <c r="F214" t="s">
        <v>13</v>
      </c>
      <c r="G214" t="s">
        <v>391</v>
      </c>
      <c r="H214" t="s">
        <v>36</v>
      </c>
      <c r="I214" t="s">
        <v>82</v>
      </c>
      <c r="J214" t="s">
        <v>51</v>
      </c>
      <c r="K214" t="s">
        <v>26</v>
      </c>
      <c r="L214" t="s">
        <v>243</v>
      </c>
    </row>
    <row r="215" spans="1:12" x14ac:dyDescent="0.2">
      <c r="A215">
        <v>264</v>
      </c>
      <c r="B215" t="s">
        <v>144</v>
      </c>
      <c r="C215" t="s">
        <v>19</v>
      </c>
      <c r="D215" t="s">
        <v>19</v>
      </c>
      <c r="E215">
        <v>0</v>
      </c>
      <c r="F215" t="s">
        <v>13</v>
      </c>
      <c r="G215" t="s">
        <v>391</v>
      </c>
      <c r="H215" t="s">
        <v>21</v>
      </c>
      <c r="I215" t="s">
        <v>390</v>
      </c>
      <c r="J215" t="s">
        <v>55</v>
      </c>
      <c r="K215" t="s">
        <v>26</v>
      </c>
      <c r="L215" t="s">
        <v>244</v>
      </c>
    </row>
    <row r="216" spans="1:12" x14ac:dyDescent="0.2">
      <c r="A216">
        <v>6613</v>
      </c>
      <c r="B216" t="s">
        <v>144</v>
      </c>
      <c r="C216" t="s">
        <v>12</v>
      </c>
      <c r="D216" t="s">
        <v>12</v>
      </c>
      <c r="E216">
        <v>0</v>
      </c>
      <c r="F216" t="s">
        <v>382</v>
      </c>
      <c r="G216" t="s">
        <v>391</v>
      </c>
      <c r="H216" t="s">
        <v>56</v>
      </c>
      <c r="I216" t="s">
        <v>390</v>
      </c>
      <c r="J216" t="s">
        <v>36</v>
      </c>
      <c r="K216" t="s">
        <v>33</v>
      </c>
      <c r="L216" t="s">
        <v>55</v>
      </c>
    </row>
    <row r="217" spans="1:12" x14ac:dyDescent="0.2">
      <c r="A217">
        <v>7995</v>
      </c>
      <c r="B217" t="s">
        <v>144</v>
      </c>
      <c r="C217" t="s">
        <v>19</v>
      </c>
      <c r="D217" t="s">
        <v>20</v>
      </c>
      <c r="E217">
        <v>1</v>
      </c>
      <c r="F217" t="s">
        <v>381</v>
      </c>
      <c r="G217" t="s">
        <v>36</v>
      </c>
      <c r="H217" t="s">
        <v>21</v>
      </c>
      <c r="I217" t="s">
        <v>49</v>
      </c>
      <c r="J217" t="s">
        <v>36</v>
      </c>
      <c r="K217" t="s">
        <v>17</v>
      </c>
      <c r="L217" t="s">
        <v>209</v>
      </c>
    </row>
    <row r="218" spans="1:12" x14ac:dyDescent="0.2">
      <c r="A218">
        <v>6971</v>
      </c>
      <c r="B218" t="s">
        <v>144</v>
      </c>
      <c r="C218" t="s">
        <v>12</v>
      </c>
      <c r="D218" t="s">
        <v>12</v>
      </c>
      <c r="E218">
        <v>0</v>
      </c>
      <c r="F218" t="s">
        <v>13</v>
      </c>
      <c r="G218" t="s">
        <v>402</v>
      </c>
      <c r="H218" t="s">
        <v>28</v>
      </c>
      <c r="I218" t="s">
        <v>85</v>
      </c>
      <c r="J218" t="s">
        <v>16</v>
      </c>
      <c r="K218" t="s">
        <v>26</v>
      </c>
      <c r="L218" t="s">
        <v>83</v>
      </c>
    </row>
    <row r="219" spans="1:12" x14ac:dyDescent="0.2">
      <c r="A219">
        <v>4653</v>
      </c>
      <c r="B219" t="s">
        <v>144</v>
      </c>
      <c r="C219" t="s">
        <v>12</v>
      </c>
      <c r="D219" t="s">
        <v>12</v>
      </c>
      <c r="E219">
        <v>0</v>
      </c>
      <c r="F219" t="s">
        <v>13</v>
      </c>
      <c r="G219" t="s">
        <v>36</v>
      </c>
      <c r="H219" t="s">
        <v>28</v>
      </c>
      <c r="I219" t="s">
        <v>24</v>
      </c>
      <c r="J219" t="s">
        <v>36</v>
      </c>
      <c r="K219" t="s">
        <v>37</v>
      </c>
      <c r="L219" t="s">
        <v>245</v>
      </c>
    </row>
    <row r="220" spans="1:12" x14ac:dyDescent="0.2">
      <c r="A220">
        <v>4335</v>
      </c>
      <c r="B220" t="s">
        <v>144</v>
      </c>
      <c r="C220" t="s">
        <v>12</v>
      </c>
      <c r="D220" t="s">
        <v>12</v>
      </c>
      <c r="E220">
        <v>0</v>
      </c>
      <c r="F220" t="s">
        <v>382</v>
      </c>
      <c r="G220" t="s">
        <v>391</v>
      </c>
      <c r="H220" t="s">
        <v>44</v>
      </c>
      <c r="I220" t="s">
        <v>29</v>
      </c>
      <c r="J220" t="s">
        <v>30</v>
      </c>
      <c r="K220" t="s">
        <v>37</v>
      </c>
      <c r="L220" t="s">
        <v>246</v>
      </c>
    </row>
    <row r="221" spans="1:12" x14ac:dyDescent="0.2">
      <c r="A221">
        <v>1915</v>
      </c>
      <c r="B221" t="s">
        <v>144</v>
      </c>
      <c r="C221" t="s">
        <v>12</v>
      </c>
      <c r="D221" t="s">
        <v>12</v>
      </c>
      <c r="E221">
        <v>0</v>
      </c>
      <c r="F221" t="s">
        <v>32</v>
      </c>
      <c r="G221" t="s">
        <v>391</v>
      </c>
      <c r="H221" t="s">
        <v>14</v>
      </c>
      <c r="I221" t="s">
        <v>247</v>
      </c>
      <c r="J221" t="s">
        <v>30</v>
      </c>
      <c r="K221" t="s">
        <v>17</v>
      </c>
      <c r="L221" t="s">
        <v>248</v>
      </c>
    </row>
    <row r="222" spans="1:12" x14ac:dyDescent="0.2">
      <c r="A222">
        <v>8852</v>
      </c>
      <c r="B222" t="s">
        <v>144</v>
      </c>
      <c r="C222" t="s">
        <v>12</v>
      </c>
      <c r="D222" t="s">
        <v>12</v>
      </c>
      <c r="E222">
        <v>0</v>
      </c>
      <c r="F222" t="s">
        <v>13</v>
      </c>
      <c r="G222" t="s">
        <v>391</v>
      </c>
      <c r="H222" t="s">
        <v>28</v>
      </c>
      <c r="I222" t="s">
        <v>57</v>
      </c>
      <c r="J222" t="s">
        <v>30</v>
      </c>
      <c r="K222" t="s">
        <v>33</v>
      </c>
      <c r="L222" t="s">
        <v>33</v>
      </c>
    </row>
    <row r="223" spans="1:12" x14ac:dyDescent="0.2">
      <c r="A223">
        <v>3273</v>
      </c>
      <c r="B223" t="s">
        <v>144</v>
      </c>
      <c r="C223" t="s">
        <v>12</v>
      </c>
      <c r="D223" t="s">
        <v>12</v>
      </c>
      <c r="E223">
        <v>0</v>
      </c>
      <c r="F223" t="s">
        <v>32</v>
      </c>
      <c r="G223" t="s">
        <v>391</v>
      </c>
      <c r="H223" t="s">
        <v>28</v>
      </c>
      <c r="I223" t="s">
        <v>50</v>
      </c>
      <c r="J223" t="s">
        <v>51</v>
      </c>
      <c r="K223" t="s">
        <v>33</v>
      </c>
      <c r="L223" t="s">
        <v>249</v>
      </c>
    </row>
    <row r="224" spans="1:12" x14ac:dyDescent="0.2">
      <c r="A224">
        <v>5296</v>
      </c>
      <c r="B224" t="s">
        <v>144</v>
      </c>
      <c r="C224" t="s">
        <v>12</v>
      </c>
      <c r="D224" t="s">
        <v>12</v>
      </c>
      <c r="E224">
        <v>0</v>
      </c>
      <c r="F224" t="s">
        <v>13</v>
      </c>
      <c r="G224" t="s">
        <v>391</v>
      </c>
      <c r="H224" t="s">
        <v>28</v>
      </c>
      <c r="I224" t="s">
        <v>61</v>
      </c>
      <c r="J224" t="s">
        <v>30</v>
      </c>
      <c r="K224" t="s">
        <v>26</v>
      </c>
      <c r="L224" t="s">
        <v>250</v>
      </c>
    </row>
    <row r="225" spans="1:12" x14ac:dyDescent="0.2">
      <c r="A225">
        <v>4746</v>
      </c>
      <c r="B225" t="s">
        <v>144</v>
      </c>
      <c r="C225" t="s">
        <v>12</v>
      </c>
      <c r="D225" t="s">
        <v>12</v>
      </c>
      <c r="E225">
        <v>0</v>
      </c>
      <c r="F225" t="s">
        <v>32</v>
      </c>
      <c r="G225" t="s">
        <v>391</v>
      </c>
      <c r="H225" t="s">
        <v>56</v>
      </c>
      <c r="I225" t="s">
        <v>45</v>
      </c>
      <c r="J225" t="s">
        <v>51</v>
      </c>
      <c r="K225" t="s">
        <v>33</v>
      </c>
      <c r="L225" t="s">
        <v>47</v>
      </c>
    </row>
    <row r="226" spans="1:12" x14ac:dyDescent="0.2">
      <c r="A226">
        <v>5403</v>
      </c>
      <c r="B226" t="s">
        <v>144</v>
      </c>
      <c r="C226" t="s">
        <v>19</v>
      </c>
      <c r="D226" t="s">
        <v>19</v>
      </c>
      <c r="E226">
        <v>0</v>
      </c>
      <c r="F226" t="s">
        <v>32</v>
      </c>
      <c r="G226" t="s">
        <v>391</v>
      </c>
      <c r="H226" t="s">
        <v>21</v>
      </c>
      <c r="I226" t="s">
        <v>82</v>
      </c>
      <c r="J226" t="s">
        <v>51</v>
      </c>
      <c r="K226" t="s">
        <v>63</v>
      </c>
      <c r="L226" t="s">
        <v>224</v>
      </c>
    </row>
    <row r="227" spans="1:12" x14ac:dyDescent="0.2">
      <c r="A227">
        <v>9506</v>
      </c>
      <c r="B227" t="s">
        <v>144</v>
      </c>
      <c r="C227" t="s">
        <v>12</v>
      </c>
      <c r="D227" t="s">
        <v>12</v>
      </c>
      <c r="E227">
        <v>0</v>
      </c>
      <c r="F227" t="s">
        <v>13</v>
      </c>
      <c r="G227" t="s">
        <v>36</v>
      </c>
      <c r="H227" t="s">
        <v>14</v>
      </c>
      <c r="I227" t="s">
        <v>84</v>
      </c>
      <c r="J227" t="s">
        <v>30</v>
      </c>
      <c r="K227" t="s">
        <v>54</v>
      </c>
      <c r="L227" t="s">
        <v>154</v>
      </c>
    </row>
    <row r="228" spans="1:12" x14ac:dyDescent="0.2">
      <c r="A228">
        <v>2335</v>
      </c>
      <c r="B228" t="s">
        <v>144</v>
      </c>
      <c r="C228" t="s">
        <v>12</v>
      </c>
      <c r="D228" t="s">
        <v>12</v>
      </c>
      <c r="E228">
        <v>0</v>
      </c>
      <c r="F228" t="s">
        <v>382</v>
      </c>
      <c r="G228" t="s">
        <v>391</v>
      </c>
      <c r="H228" t="s">
        <v>28</v>
      </c>
      <c r="I228" t="s">
        <v>61</v>
      </c>
      <c r="J228" t="s">
        <v>30</v>
      </c>
      <c r="K228" t="s">
        <v>83</v>
      </c>
      <c r="L228" t="s">
        <v>251</v>
      </c>
    </row>
    <row r="229" spans="1:12" x14ac:dyDescent="0.2">
      <c r="A229">
        <v>10168</v>
      </c>
      <c r="B229" t="s">
        <v>144</v>
      </c>
      <c r="C229" t="s">
        <v>12</v>
      </c>
      <c r="D229" t="s">
        <v>12</v>
      </c>
      <c r="E229">
        <v>0</v>
      </c>
      <c r="F229" t="s">
        <v>13</v>
      </c>
      <c r="G229" t="s">
        <v>428</v>
      </c>
      <c r="H229" t="s">
        <v>28</v>
      </c>
      <c r="I229" t="s">
        <v>24</v>
      </c>
      <c r="J229" t="s">
        <v>36</v>
      </c>
      <c r="K229" t="s">
        <v>37</v>
      </c>
      <c r="L229" t="s">
        <v>37</v>
      </c>
    </row>
    <row r="230" spans="1:12" x14ac:dyDescent="0.2">
      <c r="A230">
        <v>6291</v>
      </c>
      <c r="B230" t="s">
        <v>144</v>
      </c>
      <c r="C230" t="s">
        <v>12</v>
      </c>
      <c r="D230" t="s">
        <v>12</v>
      </c>
      <c r="E230">
        <v>0</v>
      </c>
      <c r="F230" t="s">
        <v>32</v>
      </c>
      <c r="G230" t="s">
        <v>391</v>
      </c>
      <c r="H230" t="s">
        <v>14</v>
      </c>
      <c r="I230" t="s">
        <v>390</v>
      </c>
      <c r="J230" t="s">
        <v>36</v>
      </c>
      <c r="K230" t="s">
        <v>148</v>
      </c>
      <c r="L230" t="s">
        <v>91</v>
      </c>
    </row>
    <row r="231" spans="1:12" x14ac:dyDescent="0.2">
      <c r="A231">
        <v>2197</v>
      </c>
      <c r="B231" t="s">
        <v>144</v>
      </c>
      <c r="C231" t="s">
        <v>19</v>
      </c>
      <c r="D231" t="s">
        <v>12</v>
      </c>
      <c r="E231">
        <v>1</v>
      </c>
      <c r="F231" t="s">
        <v>13</v>
      </c>
      <c r="G231" t="s">
        <v>391</v>
      </c>
      <c r="H231" t="s">
        <v>21</v>
      </c>
      <c r="I231" t="s">
        <v>390</v>
      </c>
      <c r="J231" t="s">
        <v>36</v>
      </c>
      <c r="K231" t="s">
        <v>17</v>
      </c>
      <c r="L231" t="s">
        <v>17</v>
      </c>
    </row>
    <row r="232" spans="1:12" x14ac:dyDescent="0.2">
      <c r="A232">
        <v>9768</v>
      </c>
      <c r="B232" t="s">
        <v>144</v>
      </c>
      <c r="C232" t="s">
        <v>12</v>
      </c>
      <c r="D232" t="s">
        <v>12</v>
      </c>
      <c r="E232">
        <v>0</v>
      </c>
      <c r="F232" t="s">
        <v>13</v>
      </c>
      <c r="G232" t="s">
        <v>391</v>
      </c>
      <c r="H232" t="s">
        <v>28</v>
      </c>
      <c r="I232" t="s">
        <v>24</v>
      </c>
      <c r="J232" t="s">
        <v>25</v>
      </c>
      <c r="K232" t="s">
        <v>37</v>
      </c>
      <c r="L232" t="s">
        <v>74</v>
      </c>
    </row>
    <row r="233" spans="1:12" x14ac:dyDescent="0.2">
      <c r="A233">
        <v>3522</v>
      </c>
      <c r="B233" t="s">
        <v>144</v>
      </c>
      <c r="C233" t="s">
        <v>12</v>
      </c>
      <c r="D233" t="s">
        <v>12</v>
      </c>
      <c r="E233">
        <v>0</v>
      </c>
      <c r="F233" t="s">
        <v>13</v>
      </c>
      <c r="G233" t="s">
        <v>36</v>
      </c>
      <c r="H233" t="s">
        <v>28</v>
      </c>
      <c r="I233" t="s">
        <v>390</v>
      </c>
      <c r="J233" t="s">
        <v>30</v>
      </c>
      <c r="K233" t="s">
        <v>37</v>
      </c>
      <c r="L233" t="s">
        <v>62</v>
      </c>
    </row>
    <row r="234" spans="1:12" x14ac:dyDescent="0.2">
      <c r="A234">
        <v>9444</v>
      </c>
      <c r="B234" t="s">
        <v>144</v>
      </c>
      <c r="C234" t="s">
        <v>12</v>
      </c>
      <c r="D234" t="s">
        <v>12</v>
      </c>
      <c r="E234">
        <v>0</v>
      </c>
      <c r="F234" t="s">
        <v>13</v>
      </c>
      <c r="G234" t="s">
        <v>36</v>
      </c>
      <c r="H234" t="s">
        <v>28</v>
      </c>
      <c r="I234" t="s">
        <v>24</v>
      </c>
      <c r="J234" t="s">
        <v>36</v>
      </c>
      <c r="K234" t="s">
        <v>37</v>
      </c>
      <c r="L234" t="s">
        <v>252</v>
      </c>
    </row>
    <row r="235" spans="1:12" x14ac:dyDescent="0.2">
      <c r="A235">
        <v>1170</v>
      </c>
      <c r="B235" t="s">
        <v>144</v>
      </c>
      <c r="C235" t="s">
        <v>19</v>
      </c>
      <c r="D235" t="s">
        <v>20</v>
      </c>
      <c r="E235">
        <v>1</v>
      </c>
      <c r="F235" t="s">
        <v>381</v>
      </c>
      <c r="G235" t="s">
        <v>391</v>
      </c>
      <c r="H235" t="s">
        <v>21</v>
      </c>
      <c r="I235" t="s">
        <v>79</v>
      </c>
      <c r="J235" t="s">
        <v>23</v>
      </c>
      <c r="K235" t="s">
        <v>55</v>
      </c>
      <c r="L235" t="s">
        <v>55</v>
      </c>
    </row>
    <row r="236" spans="1:12" x14ac:dyDescent="0.2">
      <c r="A236">
        <v>5333</v>
      </c>
      <c r="B236" t="s">
        <v>144</v>
      </c>
      <c r="C236" t="s">
        <v>12</v>
      </c>
      <c r="D236" t="s">
        <v>12</v>
      </c>
      <c r="E236">
        <v>0</v>
      </c>
      <c r="F236" t="s">
        <v>32</v>
      </c>
      <c r="G236" t="s">
        <v>391</v>
      </c>
      <c r="H236" t="s">
        <v>56</v>
      </c>
      <c r="I236" t="s">
        <v>81</v>
      </c>
      <c r="J236" t="s">
        <v>42</v>
      </c>
      <c r="K236" t="s">
        <v>33</v>
      </c>
      <c r="L236" t="s">
        <v>187</v>
      </c>
    </row>
    <row r="237" spans="1:12" x14ac:dyDescent="0.2">
      <c r="A237">
        <v>6955</v>
      </c>
      <c r="B237" t="s">
        <v>144</v>
      </c>
      <c r="C237" t="s">
        <v>12</v>
      </c>
      <c r="D237" t="s">
        <v>12</v>
      </c>
      <c r="E237">
        <v>0</v>
      </c>
      <c r="F237" t="s">
        <v>13</v>
      </c>
      <c r="G237" t="s">
        <v>36</v>
      </c>
      <c r="H237" t="s">
        <v>14</v>
      </c>
      <c r="I237" t="s">
        <v>390</v>
      </c>
      <c r="J237" t="s">
        <v>30</v>
      </c>
      <c r="K237" t="s">
        <v>17</v>
      </c>
      <c r="L237" t="s">
        <v>253</v>
      </c>
    </row>
    <row r="238" spans="1:12" x14ac:dyDescent="0.2">
      <c r="A238">
        <v>9452</v>
      </c>
      <c r="B238" t="s">
        <v>144</v>
      </c>
      <c r="C238" t="s">
        <v>12</v>
      </c>
      <c r="D238" t="s">
        <v>12</v>
      </c>
      <c r="E238">
        <v>0</v>
      </c>
      <c r="F238" t="s">
        <v>13</v>
      </c>
      <c r="G238" t="s">
        <v>391</v>
      </c>
      <c r="H238" t="s">
        <v>28</v>
      </c>
      <c r="I238" t="s">
        <v>24</v>
      </c>
      <c r="J238" t="s">
        <v>36</v>
      </c>
      <c r="K238" t="s">
        <v>37</v>
      </c>
      <c r="L238" t="s">
        <v>245</v>
      </c>
    </row>
    <row r="239" spans="1:12" x14ac:dyDescent="0.2">
      <c r="A239">
        <v>5315</v>
      </c>
      <c r="B239" t="s">
        <v>144</v>
      </c>
      <c r="C239" t="s">
        <v>12</v>
      </c>
      <c r="D239" t="s">
        <v>12</v>
      </c>
      <c r="E239">
        <v>0</v>
      </c>
      <c r="F239" t="s">
        <v>13</v>
      </c>
      <c r="G239" t="s">
        <v>391</v>
      </c>
      <c r="H239" t="s">
        <v>28</v>
      </c>
      <c r="I239" t="s">
        <v>61</v>
      </c>
      <c r="J239" t="s">
        <v>30</v>
      </c>
      <c r="K239" t="s">
        <v>26</v>
      </c>
      <c r="L239" t="s">
        <v>254</v>
      </c>
    </row>
    <row r="240" spans="1:12" x14ac:dyDescent="0.2">
      <c r="A240">
        <v>987</v>
      </c>
      <c r="B240" t="s">
        <v>144</v>
      </c>
      <c r="C240" t="s">
        <v>19</v>
      </c>
      <c r="D240" t="s">
        <v>19</v>
      </c>
      <c r="E240">
        <v>0</v>
      </c>
      <c r="F240" t="s">
        <v>382</v>
      </c>
      <c r="G240" t="s">
        <v>402</v>
      </c>
      <c r="H240" t="s">
        <v>21</v>
      </c>
      <c r="I240" t="s">
        <v>50</v>
      </c>
      <c r="J240" t="s">
        <v>51</v>
      </c>
      <c r="K240" t="s">
        <v>37</v>
      </c>
      <c r="L240" t="s">
        <v>31</v>
      </c>
    </row>
    <row r="241" spans="1:12" x14ac:dyDescent="0.2">
      <c r="A241">
        <v>2967</v>
      </c>
      <c r="B241" t="s">
        <v>144</v>
      </c>
      <c r="C241" t="s">
        <v>19</v>
      </c>
      <c r="D241" t="s">
        <v>19</v>
      </c>
      <c r="E241">
        <v>0</v>
      </c>
      <c r="F241" t="s">
        <v>381</v>
      </c>
      <c r="G241" t="s">
        <v>402</v>
      </c>
      <c r="H241" t="s">
        <v>21</v>
      </c>
      <c r="I241" t="s">
        <v>65</v>
      </c>
      <c r="J241" t="s">
        <v>51</v>
      </c>
      <c r="K241" t="s">
        <v>17</v>
      </c>
      <c r="L241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1"/>
  <sheetViews>
    <sheetView topLeftCell="F4" workbookViewId="0">
      <selection activeCell="L22" sqref="L22"/>
    </sheetView>
  </sheetViews>
  <sheetFormatPr baseColWidth="10" defaultColWidth="8.83203125" defaultRowHeight="15" x14ac:dyDescent="0.2"/>
  <cols>
    <col min="1" max="12" width="27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>
        <v>138</v>
      </c>
      <c r="B2" t="s">
        <v>255</v>
      </c>
      <c r="C2" t="s">
        <v>12</v>
      </c>
      <c r="D2" t="s">
        <v>12</v>
      </c>
      <c r="E2">
        <v>0</v>
      </c>
      <c r="F2" t="s">
        <v>382</v>
      </c>
      <c r="G2" s="34" t="s">
        <v>420</v>
      </c>
      <c r="H2" t="s">
        <v>56</v>
      </c>
      <c r="I2" t="s">
        <v>15</v>
      </c>
      <c r="J2" t="s">
        <v>16</v>
      </c>
      <c r="K2" t="s">
        <v>33</v>
      </c>
      <c r="L2" t="s">
        <v>52</v>
      </c>
    </row>
    <row r="3" spans="1:12" x14ac:dyDescent="0.2">
      <c r="A3">
        <v>241</v>
      </c>
      <c r="B3" t="s">
        <v>255</v>
      </c>
      <c r="C3" t="s">
        <v>19</v>
      </c>
      <c r="D3" t="s">
        <v>19</v>
      </c>
      <c r="E3">
        <v>0</v>
      </c>
      <c r="F3" t="s">
        <v>382</v>
      </c>
      <c r="G3" s="34" t="s">
        <v>391</v>
      </c>
      <c r="H3" t="s">
        <v>21</v>
      </c>
      <c r="I3" t="s">
        <v>24</v>
      </c>
      <c r="J3" t="s">
        <v>25</v>
      </c>
      <c r="K3" t="s">
        <v>37</v>
      </c>
      <c r="L3" t="s">
        <v>107</v>
      </c>
    </row>
    <row r="4" spans="1:12" x14ac:dyDescent="0.2">
      <c r="A4">
        <v>259</v>
      </c>
      <c r="B4" t="s">
        <v>255</v>
      </c>
      <c r="C4" t="s">
        <v>12</v>
      </c>
      <c r="D4" t="s">
        <v>12</v>
      </c>
      <c r="E4">
        <v>0</v>
      </c>
      <c r="F4" t="s">
        <v>32</v>
      </c>
      <c r="G4" s="34" t="s">
        <v>420</v>
      </c>
      <c r="H4" t="s">
        <v>56</v>
      </c>
      <c r="I4" t="s">
        <v>80</v>
      </c>
      <c r="J4" t="s">
        <v>23</v>
      </c>
      <c r="K4" t="s">
        <v>47</v>
      </c>
      <c r="L4" t="s">
        <v>91</v>
      </c>
    </row>
    <row r="5" spans="1:12" x14ac:dyDescent="0.2">
      <c r="A5">
        <v>264</v>
      </c>
      <c r="B5" t="s">
        <v>255</v>
      </c>
      <c r="C5" t="s">
        <v>19</v>
      </c>
      <c r="D5" t="s">
        <v>19</v>
      </c>
      <c r="E5">
        <v>0</v>
      </c>
      <c r="F5" t="s">
        <v>13</v>
      </c>
      <c r="G5" s="34" t="s">
        <v>391</v>
      </c>
      <c r="H5" t="s">
        <v>21</v>
      </c>
      <c r="I5" t="s">
        <v>130</v>
      </c>
      <c r="J5" t="s">
        <v>23</v>
      </c>
      <c r="K5" t="s">
        <v>37</v>
      </c>
      <c r="L5" t="s">
        <v>367</v>
      </c>
    </row>
    <row r="6" spans="1:12" x14ac:dyDescent="0.2">
      <c r="A6">
        <v>273</v>
      </c>
      <c r="B6" t="s">
        <v>255</v>
      </c>
      <c r="C6" t="s">
        <v>19</v>
      </c>
      <c r="D6" t="s">
        <v>19</v>
      </c>
      <c r="E6">
        <v>0</v>
      </c>
      <c r="F6" t="s">
        <v>382</v>
      </c>
      <c r="G6" s="34" t="s">
        <v>391</v>
      </c>
      <c r="H6" t="s">
        <v>21</v>
      </c>
      <c r="I6" t="s">
        <v>228</v>
      </c>
      <c r="J6" t="s">
        <v>23</v>
      </c>
      <c r="K6" t="s">
        <v>39</v>
      </c>
      <c r="L6" t="s">
        <v>40</v>
      </c>
    </row>
    <row r="7" spans="1:12" x14ac:dyDescent="0.2">
      <c r="A7">
        <v>383</v>
      </c>
      <c r="B7" t="s">
        <v>255</v>
      </c>
      <c r="C7" t="s">
        <v>19</v>
      </c>
      <c r="D7" t="s">
        <v>19</v>
      </c>
      <c r="E7">
        <v>0</v>
      </c>
      <c r="F7" t="s">
        <v>382</v>
      </c>
      <c r="G7" s="34" t="s">
        <v>391</v>
      </c>
      <c r="H7" t="s">
        <v>21</v>
      </c>
      <c r="I7" t="s">
        <v>57</v>
      </c>
      <c r="J7" t="s">
        <v>30</v>
      </c>
      <c r="K7" t="s">
        <v>37</v>
      </c>
      <c r="L7" t="s">
        <v>107</v>
      </c>
    </row>
    <row r="8" spans="1:12" x14ac:dyDescent="0.2">
      <c r="A8">
        <v>416</v>
      </c>
      <c r="B8" t="s">
        <v>255</v>
      </c>
      <c r="C8" t="s">
        <v>19</v>
      </c>
      <c r="D8" t="s">
        <v>19</v>
      </c>
      <c r="E8">
        <v>0</v>
      </c>
      <c r="F8" t="s">
        <v>382</v>
      </c>
      <c r="G8" s="34" t="s">
        <v>391</v>
      </c>
      <c r="H8" t="s">
        <v>21</v>
      </c>
      <c r="I8" t="s">
        <v>121</v>
      </c>
      <c r="J8" t="s">
        <v>25</v>
      </c>
      <c r="K8" t="s">
        <v>26</v>
      </c>
      <c r="L8" t="s">
        <v>31</v>
      </c>
    </row>
    <row r="9" spans="1:12" x14ac:dyDescent="0.2">
      <c r="A9">
        <v>474</v>
      </c>
      <c r="B9" t="s">
        <v>255</v>
      </c>
      <c r="C9" t="s">
        <v>19</v>
      </c>
      <c r="D9" t="s">
        <v>19</v>
      </c>
      <c r="E9">
        <v>0</v>
      </c>
      <c r="F9" t="s">
        <v>32</v>
      </c>
      <c r="G9" s="34" t="s">
        <v>391</v>
      </c>
      <c r="H9" t="s">
        <v>21</v>
      </c>
      <c r="I9" t="s">
        <v>49</v>
      </c>
      <c r="J9" t="s">
        <v>16</v>
      </c>
      <c r="K9" t="s">
        <v>39</v>
      </c>
      <c r="L9" t="s">
        <v>40</v>
      </c>
    </row>
    <row r="10" spans="1:12" x14ac:dyDescent="0.2">
      <c r="A10">
        <v>516</v>
      </c>
      <c r="B10" t="s">
        <v>255</v>
      </c>
      <c r="C10" t="s">
        <v>19</v>
      </c>
      <c r="D10" t="s">
        <v>19</v>
      </c>
      <c r="E10">
        <v>0</v>
      </c>
      <c r="F10" t="s">
        <v>382</v>
      </c>
      <c r="G10" s="34" t="s">
        <v>391</v>
      </c>
      <c r="H10" t="s">
        <v>21</v>
      </c>
      <c r="I10" t="s">
        <v>78</v>
      </c>
      <c r="J10" t="s">
        <v>30</v>
      </c>
      <c r="K10" t="s">
        <v>37</v>
      </c>
      <c r="L10" t="s">
        <v>107</v>
      </c>
    </row>
    <row r="11" spans="1:12" x14ac:dyDescent="0.2">
      <c r="A11">
        <v>729</v>
      </c>
      <c r="B11" t="s">
        <v>255</v>
      </c>
      <c r="C11" t="s">
        <v>12</v>
      </c>
      <c r="D11" t="s">
        <v>20</v>
      </c>
      <c r="E11">
        <v>1</v>
      </c>
      <c r="F11" t="s">
        <v>381</v>
      </c>
      <c r="G11" s="34" t="s">
        <v>396</v>
      </c>
      <c r="H11" t="s">
        <v>56</v>
      </c>
      <c r="I11" t="s">
        <v>390</v>
      </c>
      <c r="J11" t="s">
        <v>36</v>
      </c>
      <c r="K11" t="s">
        <v>47</v>
      </c>
      <c r="L11" t="s">
        <v>210</v>
      </c>
    </row>
    <row r="12" spans="1:12" x14ac:dyDescent="0.2">
      <c r="A12">
        <v>761</v>
      </c>
      <c r="B12" t="s">
        <v>255</v>
      </c>
      <c r="C12" t="s">
        <v>12</v>
      </c>
      <c r="D12" t="s">
        <v>12</v>
      </c>
      <c r="E12">
        <v>0</v>
      </c>
      <c r="F12" t="s">
        <v>32</v>
      </c>
      <c r="G12" s="34" t="s">
        <v>420</v>
      </c>
      <c r="H12" t="s">
        <v>56</v>
      </c>
      <c r="I12" t="s">
        <v>60</v>
      </c>
      <c r="J12" t="s">
        <v>42</v>
      </c>
      <c r="K12" t="s">
        <v>33</v>
      </c>
      <c r="L12" t="s">
        <v>163</v>
      </c>
    </row>
    <row r="13" spans="1:12" x14ac:dyDescent="0.2">
      <c r="A13">
        <v>777</v>
      </c>
      <c r="B13" t="s">
        <v>255</v>
      </c>
      <c r="C13" t="s">
        <v>12</v>
      </c>
      <c r="D13" t="s">
        <v>12</v>
      </c>
      <c r="E13">
        <v>0</v>
      </c>
      <c r="F13" t="s">
        <v>13</v>
      </c>
      <c r="G13" s="34" t="s">
        <v>404</v>
      </c>
      <c r="H13" t="s">
        <v>14</v>
      </c>
      <c r="I13" t="s">
        <v>50</v>
      </c>
      <c r="J13" t="s">
        <v>51</v>
      </c>
      <c r="K13" t="s">
        <v>37</v>
      </c>
      <c r="L13" t="s">
        <v>284</v>
      </c>
    </row>
    <row r="14" spans="1:12" x14ac:dyDescent="0.2">
      <c r="A14">
        <v>779</v>
      </c>
      <c r="B14" t="s">
        <v>255</v>
      </c>
      <c r="C14" t="s">
        <v>12</v>
      </c>
      <c r="D14" t="s">
        <v>12</v>
      </c>
      <c r="E14">
        <v>0</v>
      </c>
      <c r="F14" t="s">
        <v>13</v>
      </c>
      <c r="G14" s="34" t="s">
        <v>459</v>
      </c>
      <c r="H14" t="s">
        <v>14</v>
      </c>
      <c r="I14" t="s">
        <v>69</v>
      </c>
      <c r="J14" t="s">
        <v>30</v>
      </c>
      <c r="K14" t="s">
        <v>26</v>
      </c>
      <c r="L14" t="s">
        <v>102</v>
      </c>
    </row>
    <row r="15" spans="1:12" x14ac:dyDescent="0.2">
      <c r="A15">
        <v>837</v>
      </c>
      <c r="B15" t="s">
        <v>255</v>
      </c>
      <c r="C15" t="s">
        <v>19</v>
      </c>
      <c r="D15" t="s">
        <v>20</v>
      </c>
      <c r="E15">
        <v>1</v>
      </c>
      <c r="F15" t="s">
        <v>381</v>
      </c>
      <c r="G15" s="34" t="s">
        <v>391</v>
      </c>
      <c r="H15" t="s">
        <v>21</v>
      </c>
      <c r="I15" t="s">
        <v>49</v>
      </c>
      <c r="J15" t="s">
        <v>16</v>
      </c>
      <c r="K15" t="s">
        <v>63</v>
      </c>
      <c r="L15" t="s">
        <v>111</v>
      </c>
    </row>
    <row r="16" spans="1:12" x14ac:dyDescent="0.2">
      <c r="A16">
        <v>877</v>
      </c>
      <c r="B16" t="s">
        <v>255</v>
      </c>
      <c r="C16" t="s">
        <v>19</v>
      </c>
      <c r="D16" t="s">
        <v>20</v>
      </c>
      <c r="E16">
        <v>1</v>
      </c>
      <c r="F16" t="s">
        <v>381</v>
      </c>
      <c r="G16" s="34" t="s">
        <v>391</v>
      </c>
      <c r="H16" t="s">
        <v>21</v>
      </c>
      <c r="I16" t="s">
        <v>65</v>
      </c>
      <c r="J16" t="s">
        <v>51</v>
      </c>
      <c r="K16" t="s">
        <v>54</v>
      </c>
      <c r="L16" t="s">
        <v>307</v>
      </c>
    </row>
    <row r="17" spans="1:12" x14ac:dyDescent="0.2">
      <c r="A17">
        <v>896</v>
      </c>
      <c r="B17" t="s">
        <v>255</v>
      </c>
      <c r="C17" t="s">
        <v>12</v>
      </c>
      <c r="D17" t="s">
        <v>12</v>
      </c>
      <c r="E17">
        <v>0</v>
      </c>
      <c r="F17" t="s">
        <v>32</v>
      </c>
      <c r="G17" s="34" t="s">
        <v>402</v>
      </c>
      <c r="H17" t="s">
        <v>36</v>
      </c>
      <c r="I17" t="s">
        <v>390</v>
      </c>
      <c r="J17" t="s">
        <v>36</v>
      </c>
      <c r="K17" t="s">
        <v>39</v>
      </c>
      <c r="L17" t="s">
        <v>285</v>
      </c>
    </row>
    <row r="18" spans="1:12" x14ac:dyDescent="0.2">
      <c r="A18">
        <v>923</v>
      </c>
      <c r="B18" t="s">
        <v>255</v>
      </c>
      <c r="C18" t="s">
        <v>12</v>
      </c>
      <c r="D18" t="s">
        <v>12</v>
      </c>
      <c r="E18">
        <v>0</v>
      </c>
      <c r="F18" t="s">
        <v>13</v>
      </c>
      <c r="G18" s="34" t="s">
        <v>402</v>
      </c>
      <c r="H18" t="s">
        <v>14</v>
      </c>
      <c r="I18" t="s">
        <v>61</v>
      </c>
      <c r="J18" t="s">
        <v>30</v>
      </c>
      <c r="K18" t="s">
        <v>17</v>
      </c>
      <c r="L18" t="s">
        <v>301</v>
      </c>
    </row>
    <row r="19" spans="1:12" x14ac:dyDescent="0.2">
      <c r="A19">
        <v>940</v>
      </c>
      <c r="B19" t="s">
        <v>255</v>
      </c>
      <c r="C19" t="s">
        <v>12</v>
      </c>
      <c r="D19" t="s">
        <v>12</v>
      </c>
      <c r="E19">
        <v>0</v>
      </c>
      <c r="F19" t="s">
        <v>13</v>
      </c>
      <c r="G19" s="34" t="s">
        <v>402</v>
      </c>
      <c r="H19" t="s">
        <v>14</v>
      </c>
      <c r="I19" t="s">
        <v>61</v>
      </c>
      <c r="J19" t="s">
        <v>30</v>
      </c>
      <c r="K19" t="s">
        <v>17</v>
      </c>
      <c r="L19" t="s">
        <v>313</v>
      </c>
    </row>
    <row r="20" spans="1:12" x14ac:dyDescent="0.2">
      <c r="A20">
        <v>951</v>
      </c>
      <c r="B20" t="s">
        <v>255</v>
      </c>
      <c r="C20" t="s">
        <v>12</v>
      </c>
      <c r="D20" t="s">
        <v>12</v>
      </c>
      <c r="E20">
        <v>0</v>
      </c>
      <c r="F20" t="s">
        <v>13</v>
      </c>
      <c r="G20" s="34" t="s">
        <v>402</v>
      </c>
      <c r="H20" t="s">
        <v>44</v>
      </c>
      <c r="I20" t="s">
        <v>45</v>
      </c>
      <c r="J20" t="s">
        <v>23</v>
      </c>
      <c r="K20" t="s">
        <v>63</v>
      </c>
      <c r="L20" t="s">
        <v>273</v>
      </c>
    </row>
    <row r="21" spans="1:12" x14ac:dyDescent="0.2">
      <c r="A21">
        <v>987</v>
      </c>
      <c r="B21" t="s">
        <v>255</v>
      </c>
      <c r="C21" t="s">
        <v>19</v>
      </c>
      <c r="D21" t="s">
        <v>19</v>
      </c>
      <c r="E21">
        <v>0</v>
      </c>
      <c r="F21" t="s">
        <v>382</v>
      </c>
      <c r="G21" s="34" t="s">
        <v>404</v>
      </c>
      <c r="H21" t="s">
        <v>21</v>
      </c>
      <c r="I21" t="s">
        <v>390</v>
      </c>
      <c r="J21" t="s">
        <v>51</v>
      </c>
      <c r="K21" t="s">
        <v>37</v>
      </c>
      <c r="L21" t="s">
        <v>380</v>
      </c>
    </row>
    <row r="22" spans="1:12" x14ac:dyDescent="0.2">
      <c r="A22">
        <v>1010</v>
      </c>
      <c r="B22" t="s">
        <v>255</v>
      </c>
      <c r="C22" t="s">
        <v>19</v>
      </c>
      <c r="D22" t="s">
        <v>20</v>
      </c>
      <c r="E22">
        <v>1</v>
      </c>
      <c r="F22" t="s">
        <v>381</v>
      </c>
      <c r="G22" s="34" t="s">
        <v>391</v>
      </c>
      <c r="H22" t="s">
        <v>21</v>
      </c>
      <c r="I22" t="s">
        <v>288</v>
      </c>
      <c r="J22" t="s">
        <v>25</v>
      </c>
      <c r="K22" t="s">
        <v>55</v>
      </c>
      <c r="L22" t="s">
        <v>390</v>
      </c>
    </row>
    <row r="23" spans="1:12" x14ac:dyDescent="0.2">
      <c r="A23">
        <v>1058</v>
      </c>
      <c r="B23" t="s">
        <v>255</v>
      </c>
      <c r="C23" t="s">
        <v>12</v>
      </c>
      <c r="D23" t="s">
        <v>12</v>
      </c>
      <c r="E23">
        <v>0</v>
      </c>
      <c r="F23" t="s">
        <v>13</v>
      </c>
      <c r="G23" s="34" t="s">
        <v>402</v>
      </c>
      <c r="H23" t="s">
        <v>44</v>
      </c>
      <c r="I23" t="s">
        <v>124</v>
      </c>
      <c r="J23" t="s">
        <v>51</v>
      </c>
      <c r="K23" t="s">
        <v>63</v>
      </c>
      <c r="L23" t="s">
        <v>353</v>
      </c>
    </row>
    <row r="24" spans="1:12" x14ac:dyDescent="0.2">
      <c r="A24">
        <v>1170</v>
      </c>
      <c r="B24" t="s">
        <v>255</v>
      </c>
      <c r="C24" t="s">
        <v>19</v>
      </c>
      <c r="D24" t="s">
        <v>20</v>
      </c>
      <c r="E24">
        <v>1</v>
      </c>
      <c r="F24" t="s">
        <v>381</v>
      </c>
      <c r="G24" s="34" t="s">
        <v>402</v>
      </c>
      <c r="H24" t="s">
        <v>21</v>
      </c>
      <c r="I24" t="s">
        <v>79</v>
      </c>
      <c r="J24" t="s">
        <v>23</v>
      </c>
      <c r="K24" t="s">
        <v>55</v>
      </c>
      <c r="L24" t="s">
        <v>55</v>
      </c>
    </row>
    <row r="25" spans="1:12" x14ac:dyDescent="0.2">
      <c r="A25">
        <v>1186</v>
      </c>
      <c r="B25" t="s">
        <v>255</v>
      </c>
      <c r="C25" t="s">
        <v>12</v>
      </c>
      <c r="D25" t="s">
        <v>12</v>
      </c>
      <c r="E25">
        <v>0</v>
      </c>
      <c r="F25" t="s">
        <v>13</v>
      </c>
      <c r="G25" s="34" t="s">
        <v>402</v>
      </c>
      <c r="H25" t="s">
        <v>28</v>
      </c>
      <c r="I25" t="s">
        <v>80</v>
      </c>
      <c r="J25" t="s">
        <v>23</v>
      </c>
      <c r="K25" t="s">
        <v>83</v>
      </c>
      <c r="L25" t="s">
        <v>302</v>
      </c>
    </row>
    <row r="26" spans="1:12" x14ac:dyDescent="0.2">
      <c r="A26">
        <v>1289</v>
      </c>
      <c r="B26" t="s">
        <v>255</v>
      </c>
      <c r="C26" t="s">
        <v>19</v>
      </c>
      <c r="D26" t="s">
        <v>19</v>
      </c>
      <c r="E26">
        <v>0</v>
      </c>
      <c r="F26" t="s">
        <v>382</v>
      </c>
      <c r="G26" s="34" t="s">
        <v>391</v>
      </c>
      <c r="H26" t="s">
        <v>21</v>
      </c>
      <c r="I26" t="s">
        <v>79</v>
      </c>
      <c r="J26" t="s">
        <v>23</v>
      </c>
      <c r="K26" t="s">
        <v>26</v>
      </c>
      <c r="L26" t="s">
        <v>226</v>
      </c>
    </row>
    <row r="27" spans="1:12" x14ac:dyDescent="0.2">
      <c r="A27">
        <v>1485</v>
      </c>
      <c r="B27" t="s">
        <v>255</v>
      </c>
      <c r="C27" t="s">
        <v>12</v>
      </c>
      <c r="D27" t="s">
        <v>12</v>
      </c>
      <c r="E27">
        <v>0</v>
      </c>
      <c r="F27" t="s">
        <v>13</v>
      </c>
      <c r="G27" s="34" t="s">
        <v>402</v>
      </c>
      <c r="H27" t="s">
        <v>14</v>
      </c>
      <c r="I27" t="s">
        <v>390</v>
      </c>
      <c r="J27" t="s">
        <v>36</v>
      </c>
      <c r="K27" t="s">
        <v>47</v>
      </c>
      <c r="L27" t="s">
        <v>362</v>
      </c>
    </row>
    <row r="28" spans="1:12" x14ac:dyDescent="0.2">
      <c r="A28">
        <v>1713</v>
      </c>
      <c r="B28" t="s">
        <v>255</v>
      </c>
      <c r="C28" t="s">
        <v>19</v>
      </c>
      <c r="D28" t="s">
        <v>19</v>
      </c>
      <c r="E28">
        <v>0</v>
      </c>
      <c r="F28" t="s">
        <v>382</v>
      </c>
      <c r="G28" s="34" t="s">
        <v>396</v>
      </c>
      <c r="H28" t="s">
        <v>21</v>
      </c>
      <c r="I28" t="s">
        <v>61</v>
      </c>
      <c r="J28" t="s">
        <v>30</v>
      </c>
      <c r="K28" t="s">
        <v>17</v>
      </c>
      <c r="L28" t="s">
        <v>306</v>
      </c>
    </row>
    <row r="29" spans="1:12" x14ac:dyDescent="0.2">
      <c r="A29">
        <v>1751</v>
      </c>
      <c r="B29" t="s">
        <v>255</v>
      </c>
      <c r="C29" t="s">
        <v>19</v>
      </c>
      <c r="D29" t="s">
        <v>12</v>
      </c>
      <c r="E29">
        <v>1</v>
      </c>
      <c r="F29" t="s">
        <v>13</v>
      </c>
      <c r="G29" s="34" t="s">
        <v>459</v>
      </c>
      <c r="H29" t="s">
        <v>21</v>
      </c>
      <c r="I29" t="s">
        <v>130</v>
      </c>
      <c r="J29" t="s">
        <v>23</v>
      </c>
      <c r="K29" t="s">
        <v>33</v>
      </c>
      <c r="L29" t="s">
        <v>155</v>
      </c>
    </row>
    <row r="30" spans="1:12" x14ac:dyDescent="0.2">
      <c r="A30">
        <v>1758</v>
      </c>
      <c r="B30" t="s">
        <v>255</v>
      </c>
      <c r="C30" t="s">
        <v>12</v>
      </c>
      <c r="D30" t="s">
        <v>12</v>
      </c>
      <c r="E30">
        <v>0</v>
      </c>
      <c r="F30" t="s">
        <v>32</v>
      </c>
      <c r="G30" s="34" t="s">
        <v>402</v>
      </c>
      <c r="H30" t="s">
        <v>56</v>
      </c>
      <c r="I30" t="s">
        <v>124</v>
      </c>
      <c r="J30" t="s">
        <v>51</v>
      </c>
      <c r="K30" t="s">
        <v>148</v>
      </c>
      <c r="L30" t="s">
        <v>152</v>
      </c>
    </row>
    <row r="31" spans="1:12" x14ac:dyDescent="0.2">
      <c r="A31">
        <v>1844</v>
      </c>
      <c r="B31" t="s">
        <v>255</v>
      </c>
      <c r="C31" t="s">
        <v>12</v>
      </c>
      <c r="D31" t="s">
        <v>12</v>
      </c>
      <c r="E31">
        <v>0</v>
      </c>
      <c r="F31" t="s">
        <v>32</v>
      </c>
      <c r="G31" s="34" t="s">
        <v>391</v>
      </c>
      <c r="H31" t="s">
        <v>14</v>
      </c>
      <c r="I31" t="s">
        <v>78</v>
      </c>
      <c r="J31" t="s">
        <v>30</v>
      </c>
      <c r="K31" t="s">
        <v>26</v>
      </c>
      <c r="L31" t="s">
        <v>339</v>
      </c>
    </row>
    <row r="32" spans="1:12" x14ac:dyDescent="0.2">
      <c r="A32">
        <v>1854</v>
      </c>
      <c r="B32" t="s">
        <v>255</v>
      </c>
      <c r="C32" t="s">
        <v>12</v>
      </c>
      <c r="D32" t="s">
        <v>20</v>
      </c>
      <c r="E32">
        <v>1</v>
      </c>
      <c r="F32" t="s">
        <v>381</v>
      </c>
      <c r="G32" s="34" t="s">
        <v>420</v>
      </c>
      <c r="H32" t="s">
        <v>21</v>
      </c>
      <c r="I32" t="s">
        <v>15</v>
      </c>
      <c r="J32" t="s">
        <v>16</v>
      </c>
      <c r="K32" t="s">
        <v>33</v>
      </c>
      <c r="L32" t="s">
        <v>163</v>
      </c>
    </row>
    <row r="33" spans="1:12" x14ac:dyDescent="0.2">
      <c r="A33">
        <v>1915</v>
      </c>
      <c r="B33" t="s">
        <v>255</v>
      </c>
      <c r="C33" t="s">
        <v>12</v>
      </c>
      <c r="D33" t="s">
        <v>12</v>
      </c>
      <c r="E33">
        <v>0</v>
      </c>
      <c r="F33" t="s">
        <v>32</v>
      </c>
      <c r="G33" s="34" t="s">
        <v>391</v>
      </c>
      <c r="H33" t="s">
        <v>14</v>
      </c>
      <c r="I33" t="s">
        <v>78</v>
      </c>
      <c r="J33" t="s">
        <v>30</v>
      </c>
      <c r="K33" t="s">
        <v>37</v>
      </c>
      <c r="L33" t="s">
        <v>270</v>
      </c>
    </row>
    <row r="34" spans="1:12" x14ac:dyDescent="0.2">
      <c r="A34">
        <v>1943</v>
      </c>
      <c r="B34" t="s">
        <v>255</v>
      </c>
      <c r="C34" t="s">
        <v>19</v>
      </c>
      <c r="D34" t="s">
        <v>19</v>
      </c>
      <c r="E34">
        <v>0</v>
      </c>
      <c r="F34" t="s">
        <v>382</v>
      </c>
      <c r="G34" s="34" t="s">
        <v>391</v>
      </c>
      <c r="H34" t="s">
        <v>21</v>
      </c>
      <c r="I34" t="s">
        <v>57</v>
      </c>
      <c r="J34" t="s">
        <v>30</v>
      </c>
      <c r="K34" t="s">
        <v>26</v>
      </c>
      <c r="L34" t="s">
        <v>67</v>
      </c>
    </row>
    <row r="35" spans="1:12" x14ac:dyDescent="0.2">
      <c r="A35">
        <v>1947</v>
      </c>
      <c r="B35" t="s">
        <v>255</v>
      </c>
      <c r="C35" t="s">
        <v>19</v>
      </c>
      <c r="D35" t="s">
        <v>19</v>
      </c>
      <c r="E35">
        <v>0</v>
      </c>
      <c r="F35" t="s">
        <v>382</v>
      </c>
      <c r="G35" s="34" t="s">
        <v>391</v>
      </c>
      <c r="H35" t="s">
        <v>21</v>
      </c>
      <c r="I35" t="s">
        <v>57</v>
      </c>
      <c r="J35" t="s">
        <v>30</v>
      </c>
      <c r="K35" t="s">
        <v>26</v>
      </c>
      <c r="L35" t="s">
        <v>31</v>
      </c>
    </row>
    <row r="36" spans="1:12" x14ac:dyDescent="0.2">
      <c r="A36">
        <v>1955</v>
      </c>
      <c r="B36" t="s">
        <v>255</v>
      </c>
      <c r="C36" t="s">
        <v>12</v>
      </c>
      <c r="D36" t="s">
        <v>12</v>
      </c>
      <c r="E36">
        <v>0</v>
      </c>
      <c r="F36" t="s">
        <v>32</v>
      </c>
      <c r="G36" s="34" t="s">
        <v>391</v>
      </c>
      <c r="H36" t="s">
        <v>14</v>
      </c>
      <c r="I36" t="s">
        <v>78</v>
      </c>
      <c r="J36" t="s">
        <v>30</v>
      </c>
      <c r="K36" t="s">
        <v>37</v>
      </c>
      <c r="L36" t="s">
        <v>107</v>
      </c>
    </row>
    <row r="37" spans="1:12" x14ac:dyDescent="0.2">
      <c r="A37">
        <v>1975</v>
      </c>
      <c r="B37" t="s">
        <v>255</v>
      </c>
      <c r="C37" t="s">
        <v>12</v>
      </c>
      <c r="D37" t="s">
        <v>12</v>
      </c>
      <c r="E37">
        <v>0</v>
      </c>
      <c r="F37" t="s">
        <v>13</v>
      </c>
      <c r="G37" s="34" t="s">
        <v>391</v>
      </c>
      <c r="H37" t="s">
        <v>44</v>
      </c>
      <c r="I37" t="s">
        <v>68</v>
      </c>
      <c r="J37" t="s">
        <v>42</v>
      </c>
      <c r="K37" t="s">
        <v>26</v>
      </c>
      <c r="L37" t="s">
        <v>365</v>
      </c>
    </row>
    <row r="38" spans="1:12" x14ac:dyDescent="0.2">
      <c r="A38">
        <v>1983</v>
      </c>
      <c r="B38" t="s">
        <v>255</v>
      </c>
      <c r="C38" t="s">
        <v>19</v>
      </c>
      <c r="D38" t="s">
        <v>20</v>
      </c>
      <c r="E38">
        <v>1</v>
      </c>
      <c r="F38" t="s">
        <v>381</v>
      </c>
      <c r="G38" s="34" t="s">
        <v>402</v>
      </c>
      <c r="H38" t="s">
        <v>21</v>
      </c>
      <c r="I38" t="s">
        <v>106</v>
      </c>
      <c r="J38" t="s">
        <v>23</v>
      </c>
      <c r="K38" t="s">
        <v>55</v>
      </c>
      <c r="L38" t="s">
        <v>390</v>
      </c>
    </row>
    <row r="39" spans="1:12" x14ac:dyDescent="0.2">
      <c r="A39">
        <v>2000</v>
      </c>
      <c r="B39" t="s">
        <v>255</v>
      </c>
      <c r="C39" t="s">
        <v>19</v>
      </c>
      <c r="D39" t="s">
        <v>20</v>
      </c>
      <c r="E39">
        <v>1</v>
      </c>
      <c r="F39" t="s">
        <v>381</v>
      </c>
      <c r="G39" s="34" t="s">
        <v>402</v>
      </c>
      <c r="H39" t="s">
        <v>21</v>
      </c>
      <c r="I39" t="s">
        <v>80</v>
      </c>
      <c r="J39" t="s">
        <v>23</v>
      </c>
      <c r="K39" t="s">
        <v>55</v>
      </c>
      <c r="L39" t="s">
        <v>390</v>
      </c>
    </row>
    <row r="40" spans="1:12" x14ac:dyDescent="0.2">
      <c r="A40">
        <v>2012</v>
      </c>
      <c r="B40" t="s">
        <v>255</v>
      </c>
      <c r="C40" t="s">
        <v>19</v>
      </c>
      <c r="D40" t="s">
        <v>12</v>
      </c>
      <c r="E40">
        <v>1</v>
      </c>
      <c r="F40" t="s">
        <v>13</v>
      </c>
      <c r="G40" s="34" t="s">
        <v>420</v>
      </c>
      <c r="H40" t="s">
        <v>21</v>
      </c>
      <c r="I40" t="s">
        <v>49</v>
      </c>
      <c r="J40" t="s">
        <v>16</v>
      </c>
      <c r="K40" t="s">
        <v>33</v>
      </c>
      <c r="L40" t="s">
        <v>287</v>
      </c>
    </row>
    <row r="41" spans="1:12" x14ac:dyDescent="0.2">
      <c r="A41">
        <v>2086</v>
      </c>
      <c r="B41" t="s">
        <v>255</v>
      </c>
      <c r="C41" t="s">
        <v>12</v>
      </c>
      <c r="D41" t="s">
        <v>12</v>
      </c>
      <c r="E41">
        <v>0</v>
      </c>
      <c r="F41" t="s">
        <v>382</v>
      </c>
      <c r="G41" s="34" t="s">
        <v>391</v>
      </c>
      <c r="H41" t="s">
        <v>28</v>
      </c>
      <c r="I41" t="s">
        <v>323</v>
      </c>
      <c r="J41" t="s">
        <v>25</v>
      </c>
      <c r="K41" t="s">
        <v>37</v>
      </c>
      <c r="L41" t="s">
        <v>334</v>
      </c>
    </row>
    <row r="42" spans="1:12" x14ac:dyDescent="0.2">
      <c r="A42">
        <v>2180</v>
      </c>
      <c r="B42" t="s">
        <v>255</v>
      </c>
      <c r="C42" t="s">
        <v>12</v>
      </c>
      <c r="D42" t="s">
        <v>12</v>
      </c>
      <c r="E42">
        <v>0</v>
      </c>
      <c r="F42" t="s">
        <v>32</v>
      </c>
      <c r="G42" s="34" t="s">
        <v>402</v>
      </c>
      <c r="H42" t="s">
        <v>28</v>
      </c>
      <c r="I42" t="s">
        <v>45</v>
      </c>
      <c r="J42" t="s">
        <v>23</v>
      </c>
      <c r="K42" t="s">
        <v>33</v>
      </c>
      <c r="L42" t="s">
        <v>34</v>
      </c>
    </row>
    <row r="43" spans="1:12" x14ac:dyDescent="0.2">
      <c r="A43">
        <v>2192</v>
      </c>
      <c r="B43" t="s">
        <v>255</v>
      </c>
      <c r="C43" t="s">
        <v>12</v>
      </c>
      <c r="D43" t="s">
        <v>12</v>
      </c>
      <c r="E43">
        <v>0</v>
      </c>
      <c r="F43" t="s">
        <v>13</v>
      </c>
      <c r="G43" s="34" t="s">
        <v>428</v>
      </c>
      <c r="H43" t="s">
        <v>56</v>
      </c>
      <c r="I43" t="s">
        <v>390</v>
      </c>
      <c r="J43" t="s">
        <v>36</v>
      </c>
      <c r="K43" t="s">
        <v>55</v>
      </c>
      <c r="L43" t="s">
        <v>154</v>
      </c>
    </row>
    <row r="44" spans="1:12" x14ac:dyDescent="0.2">
      <c r="A44">
        <v>2197</v>
      </c>
      <c r="B44" t="s">
        <v>255</v>
      </c>
      <c r="C44" t="s">
        <v>19</v>
      </c>
      <c r="D44" t="s">
        <v>19</v>
      </c>
      <c r="E44">
        <v>0</v>
      </c>
      <c r="F44" t="s">
        <v>13</v>
      </c>
      <c r="G44" s="34" t="s">
        <v>428</v>
      </c>
      <c r="H44" t="s">
        <v>21</v>
      </c>
      <c r="I44" t="s">
        <v>390</v>
      </c>
      <c r="J44" t="s">
        <v>36</v>
      </c>
      <c r="K44" t="s">
        <v>55</v>
      </c>
      <c r="L44" t="s">
        <v>55</v>
      </c>
    </row>
    <row r="45" spans="1:12" x14ac:dyDescent="0.2">
      <c r="A45">
        <v>2219</v>
      </c>
      <c r="B45" t="s">
        <v>255</v>
      </c>
      <c r="C45" t="s">
        <v>19</v>
      </c>
      <c r="D45" t="s">
        <v>19</v>
      </c>
      <c r="E45">
        <v>0</v>
      </c>
      <c r="F45" t="s">
        <v>382</v>
      </c>
      <c r="G45" s="34" t="s">
        <v>391</v>
      </c>
      <c r="H45" t="s">
        <v>21</v>
      </c>
      <c r="I45" t="s">
        <v>49</v>
      </c>
      <c r="J45" t="s">
        <v>16</v>
      </c>
      <c r="K45" t="s">
        <v>26</v>
      </c>
      <c r="L45" t="s">
        <v>31</v>
      </c>
    </row>
    <row r="46" spans="1:12" x14ac:dyDescent="0.2">
      <c r="A46">
        <v>2241</v>
      </c>
      <c r="B46" t="s">
        <v>255</v>
      </c>
      <c r="C46" t="s">
        <v>12</v>
      </c>
      <c r="D46" t="s">
        <v>12</v>
      </c>
      <c r="E46">
        <v>0</v>
      </c>
      <c r="F46" t="s">
        <v>32</v>
      </c>
      <c r="G46" s="34" t="s">
        <v>391</v>
      </c>
      <c r="H46" t="s">
        <v>28</v>
      </c>
      <c r="I46" t="s">
        <v>78</v>
      </c>
      <c r="J46" t="s">
        <v>30</v>
      </c>
      <c r="K46" t="s">
        <v>26</v>
      </c>
      <c r="L46" t="s">
        <v>329</v>
      </c>
    </row>
    <row r="47" spans="1:12" x14ac:dyDescent="0.2">
      <c r="A47">
        <v>2292</v>
      </c>
      <c r="B47" t="s">
        <v>255</v>
      </c>
      <c r="C47" t="s">
        <v>12</v>
      </c>
      <c r="D47" t="s">
        <v>12</v>
      </c>
      <c r="E47">
        <v>0</v>
      </c>
      <c r="F47" t="s">
        <v>382</v>
      </c>
      <c r="G47" s="34" t="s">
        <v>459</v>
      </c>
      <c r="H47" t="s">
        <v>14</v>
      </c>
      <c r="I47" t="s">
        <v>390</v>
      </c>
      <c r="J47" t="s">
        <v>36</v>
      </c>
      <c r="K47" t="s">
        <v>17</v>
      </c>
      <c r="L47" t="s">
        <v>18</v>
      </c>
    </row>
    <row r="48" spans="1:12" x14ac:dyDescent="0.2">
      <c r="A48">
        <v>2307</v>
      </c>
      <c r="B48" t="s">
        <v>255</v>
      </c>
      <c r="C48" t="s">
        <v>12</v>
      </c>
      <c r="D48" t="s">
        <v>12</v>
      </c>
      <c r="E48">
        <v>0</v>
      </c>
      <c r="F48" t="s">
        <v>382</v>
      </c>
      <c r="G48" s="34" t="s">
        <v>391</v>
      </c>
      <c r="H48" t="s">
        <v>14</v>
      </c>
      <c r="I48" t="s">
        <v>49</v>
      </c>
      <c r="J48" t="s">
        <v>16</v>
      </c>
      <c r="K48" t="s">
        <v>37</v>
      </c>
      <c r="L48" t="s">
        <v>265</v>
      </c>
    </row>
    <row r="49" spans="1:12" x14ac:dyDescent="0.2">
      <c r="A49">
        <v>2326</v>
      </c>
      <c r="B49" t="s">
        <v>255</v>
      </c>
      <c r="C49" t="s">
        <v>12</v>
      </c>
      <c r="D49" t="s">
        <v>12</v>
      </c>
      <c r="E49">
        <v>0</v>
      </c>
      <c r="F49" t="s">
        <v>13</v>
      </c>
      <c r="G49" s="34" t="s">
        <v>391</v>
      </c>
      <c r="H49" t="s">
        <v>14</v>
      </c>
      <c r="I49" t="s">
        <v>24</v>
      </c>
      <c r="J49" t="s">
        <v>25</v>
      </c>
      <c r="K49" t="s">
        <v>37</v>
      </c>
      <c r="L49" t="s">
        <v>327</v>
      </c>
    </row>
    <row r="50" spans="1:12" x14ac:dyDescent="0.2">
      <c r="A50">
        <v>2335</v>
      </c>
      <c r="B50" t="s">
        <v>255</v>
      </c>
      <c r="C50" t="s">
        <v>12</v>
      </c>
      <c r="D50" t="s">
        <v>12</v>
      </c>
      <c r="E50">
        <v>0</v>
      </c>
      <c r="F50" t="s">
        <v>382</v>
      </c>
      <c r="G50" s="34" t="s">
        <v>402</v>
      </c>
      <c r="H50" t="s">
        <v>21</v>
      </c>
      <c r="I50" t="s">
        <v>61</v>
      </c>
      <c r="J50" t="s">
        <v>30</v>
      </c>
      <c r="K50" t="s">
        <v>37</v>
      </c>
      <c r="L50" t="s">
        <v>374</v>
      </c>
    </row>
    <row r="51" spans="1:12" x14ac:dyDescent="0.2">
      <c r="A51">
        <v>2343</v>
      </c>
      <c r="B51" t="s">
        <v>255</v>
      </c>
      <c r="C51" t="s">
        <v>19</v>
      </c>
      <c r="D51" t="s">
        <v>20</v>
      </c>
      <c r="E51">
        <v>1</v>
      </c>
      <c r="F51" t="s">
        <v>381</v>
      </c>
      <c r="G51" s="34" t="s">
        <v>391</v>
      </c>
      <c r="H51" t="s">
        <v>21</v>
      </c>
      <c r="I51" t="s">
        <v>130</v>
      </c>
      <c r="J51" t="s">
        <v>23</v>
      </c>
      <c r="K51" t="s">
        <v>55</v>
      </c>
      <c r="L51" t="s">
        <v>390</v>
      </c>
    </row>
    <row r="52" spans="1:12" x14ac:dyDescent="0.2">
      <c r="A52">
        <v>2448</v>
      </c>
      <c r="B52" t="s">
        <v>255</v>
      </c>
      <c r="C52" t="s">
        <v>12</v>
      </c>
      <c r="D52" t="s">
        <v>12</v>
      </c>
      <c r="E52">
        <v>0</v>
      </c>
      <c r="F52" t="s">
        <v>13</v>
      </c>
      <c r="G52" s="34" t="s">
        <v>391</v>
      </c>
      <c r="H52" t="s">
        <v>56</v>
      </c>
      <c r="I52" t="s">
        <v>24</v>
      </c>
      <c r="J52" t="s">
        <v>25</v>
      </c>
      <c r="K52" t="s">
        <v>26</v>
      </c>
      <c r="L52" t="s">
        <v>277</v>
      </c>
    </row>
    <row r="53" spans="1:12" x14ac:dyDescent="0.2">
      <c r="A53">
        <v>2480</v>
      </c>
      <c r="B53" t="s">
        <v>255</v>
      </c>
      <c r="C53" t="s">
        <v>12</v>
      </c>
      <c r="D53" t="s">
        <v>12</v>
      </c>
      <c r="E53">
        <v>0</v>
      </c>
      <c r="F53" t="s">
        <v>13</v>
      </c>
      <c r="G53" s="34" t="s">
        <v>391</v>
      </c>
      <c r="H53" t="s">
        <v>14</v>
      </c>
      <c r="I53" t="s">
        <v>24</v>
      </c>
      <c r="J53" t="s">
        <v>25</v>
      </c>
      <c r="K53" t="s">
        <v>17</v>
      </c>
      <c r="L53" t="s">
        <v>305</v>
      </c>
    </row>
    <row r="54" spans="1:12" x14ac:dyDescent="0.2">
      <c r="A54">
        <v>2483</v>
      </c>
      <c r="B54" t="s">
        <v>255</v>
      </c>
      <c r="C54" t="s">
        <v>19</v>
      </c>
      <c r="D54" t="s">
        <v>19</v>
      </c>
      <c r="E54">
        <v>0</v>
      </c>
      <c r="F54" t="s">
        <v>13</v>
      </c>
      <c r="G54" s="34" t="s">
        <v>419</v>
      </c>
      <c r="H54" t="s">
        <v>21</v>
      </c>
      <c r="I54" t="s">
        <v>49</v>
      </c>
      <c r="J54" t="s">
        <v>16</v>
      </c>
      <c r="K54" t="s">
        <v>17</v>
      </c>
      <c r="L54" t="s">
        <v>18</v>
      </c>
    </row>
    <row r="55" spans="1:12" x14ac:dyDescent="0.2">
      <c r="A55">
        <v>2508</v>
      </c>
      <c r="B55" t="s">
        <v>255</v>
      </c>
      <c r="C55" t="s">
        <v>19</v>
      </c>
      <c r="D55" t="s">
        <v>19</v>
      </c>
      <c r="E55">
        <v>0</v>
      </c>
      <c r="F55" t="s">
        <v>382</v>
      </c>
      <c r="G55" s="34" t="s">
        <v>391</v>
      </c>
      <c r="H55" t="s">
        <v>21</v>
      </c>
      <c r="I55" t="s">
        <v>57</v>
      </c>
      <c r="J55" t="s">
        <v>30</v>
      </c>
      <c r="K55" t="s">
        <v>37</v>
      </c>
      <c r="L55" t="s">
        <v>107</v>
      </c>
    </row>
    <row r="56" spans="1:12" x14ac:dyDescent="0.2">
      <c r="A56">
        <v>2522</v>
      </c>
      <c r="B56" t="s">
        <v>255</v>
      </c>
      <c r="C56" t="s">
        <v>12</v>
      </c>
      <c r="D56" t="s">
        <v>12</v>
      </c>
      <c r="E56">
        <v>0</v>
      </c>
      <c r="F56" t="s">
        <v>13</v>
      </c>
      <c r="G56" s="34" t="s">
        <v>391</v>
      </c>
      <c r="H56" t="s">
        <v>28</v>
      </c>
      <c r="I56" t="s">
        <v>78</v>
      </c>
      <c r="J56" t="s">
        <v>30</v>
      </c>
      <c r="K56" t="s">
        <v>26</v>
      </c>
      <c r="L56" t="s">
        <v>172</v>
      </c>
    </row>
    <row r="57" spans="1:12" x14ac:dyDescent="0.2">
      <c r="A57">
        <v>2534</v>
      </c>
      <c r="B57" t="s">
        <v>255</v>
      </c>
      <c r="C57" t="s">
        <v>19</v>
      </c>
      <c r="D57" t="s">
        <v>20</v>
      </c>
      <c r="E57">
        <v>1</v>
      </c>
      <c r="F57" t="s">
        <v>381</v>
      </c>
      <c r="G57" s="34" t="s">
        <v>419</v>
      </c>
      <c r="H57" t="s">
        <v>21</v>
      </c>
      <c r="I57" t="s">
        <v>294</v>
      </c>
      <c r="J57" t="s">
        <v>42</v>
      </c>
      <c r="K57" t="s">
        <v>33</v>
      </c>
      <c r="L57" t="s">
        <v>34</v>
      </c>
    </row>
    <row r="58" spans="1:12" x14ac:dyDescent="0.2">
      <c r="A58">
        <v>2747</v>
      </c>
      <c r="B58" t="s">
        <v>255</v>
      </c>
      <c r="C58" t="s">
        <v>12</v>
      </c>
      <c r="D58" t="s">
        <v>12</v>
      </c>
      <c r="E58">
        <v>0</v>
      </c>
      <c r="F58" t="s">
        <v>382</v>
      </c>
      <c r="G58" s="34" t="s">
        <v>402</v>
      </c>
      <c r="H58" t="s">
        <v>21</v>
      </c>
      <c r="I58" t="s">
        <v>45</v>
      </c>
      <c r="J58" t="s">
        <v>23</v>
      </c>
      <c r="K58" t="s">
        <v>83</v>
      </c>
      <c r="L58" t="s">
        <v>278</v>
      </c>
    </row>
    <row r="59" spans="1:12" x14ac:dyDescent="0.2">
      <c r="A59">
        <v>2782</v>
      </c>
      <c r="B59" t="s">
        <v>255</v>
      </c>
      <c r="C59" t="s">
        <v>12</v>
      </c>
      <c r="D59" t="s">
        <v>12</v>
      </c>
      <c r="E59">
        <v>0</v>
      </c>
      <c r="F59" t="s">
        <v>32</v>
      </c>
      <c r="G59" s="34" t="s">
        <v>420</v>
      </c>
      <c r="H59" t="s">
        <v>56</v>
      </c>
      <c r="I59" t="s">
        <v>89</v>
      </c>
      <c r="J59" t="s">
        <v>23</v>
      </c>
      <c r="K59" t="s">
        <v>33</v>
      </c>
      <c r="L59" t="s">
        <v>272</v>
      </c>
    </row>
    <row r="60" spans="1:12" x14ac:dyDescent="0.2">
      <c r="A60">
        <v>2814</v>
      </c>
      <c r="B60" t="s">
        <v>255</v>
      </c>
      <c r="C60" t="s">
        <v>12</v>
      </c>
      <c r="D60" t="s">
        <v>20</v>
      </c>
      <c r="E60">
        <v>1</v>
      </c>
      <c r="F60" t="s">
        <v>381</v>
      </c>
      <c r="G60" s="34" t="s">
        <v>420</v>
      </c>
      <c r="H60" t="s">
        <v>21</v>
      </c>
      <c r="I60" t="s">
        <v>78</v>
      </c>
      <c r="J60" t="s">
        <v>30</v>
      </c>
      <c r="K60" t="s">
        <v>33</v>
      </c>
      <c r="L60" t="s">
        <v>163</v>
      </c>
    </row>
    <row r="61" spans="1:12" x14ac:dyDescent="0.2">
      <c r="A61">
        <v>2838</v>
      </c>
      <c r="B61" t="s">
        <v>255</v>
      </c>
      <c r="C61" t="s">
        <v>19</v>
      </c>
      <c r="D61" t="s">
        <v>19</v>
      </c>
      <c r="E61">
        <v>0</v>
      </c>
      <c r="F61" t="s">
        <v>382</v>
      </c>
      <c r="G61" s="34" t="s">
        <v>402</v>
      </c>
      <c r="H61" t="s">
        <v>21</v>
      </c>
      <c r="I61" t="s">
        <v>82</v>
      </c>
      <c r="J61" t="s">
        <v>51</v>
      </c>
      <c r="K61" t="s">
        <v>26</v>
      </c>
      <c r="L61" t="s">
        <v>354</v>
      </c>
    </row>
    <row r="62" spans="1:12" x14ac:dyDescent="0.2">
      <c r="A62">
        <v>2889</v>
      </c>
      <c r="B62" t="s">
        <v>255</v>
      </c>
      <c r="C62" t="s">
        <v>12</v>
      </c>
      <c r="D62" t="s">
        <v>12</v>
      </c>
      <c r="E62">
        <v>0</v>
      </c>
      <c r="F62" t="s">
        <v>32</v>
      </c>
      <c r="G62" s="34" t="s">
        <v>391</v>
      </c>
      <c r="H62" t="s">
        <v>56</v>
      </c>
      <c r="I62" t="s">
        <v>390</v>
      </c>
      <c r="J62" t="s">
        <v>36</v>
      </c>
      <c r="K62" t="s">
        <v>17</v>
      </c>
      <c r="L62" t="s">
        <v>282</v>
      </c>
    </row>
    <row r="63" spans="1:12" x14ac:dyDescent="0.2">
      <c r="A63">
        <v>2910</v>
      </c>
      <c r="B63" t="s">
        <v>255</v>
      </c>
      <c r="C63" t="s">
        <v>12</v>
      </c>
      <c r="D63" t="s">
        <v>12</v>
      </c>
      <c r="E63">
        <v>0</v>
      </c>
      <c r="F63" t="s">
        <v>13</v>
      </c>
      <c r="G63" s="34" t="s">
        <v>420</v>
      </c>
      <c r="H63" t="s">
        <v>21</v>
      </c>
      <c r="I63" t="s">
        <v>390</v>
      </c>
      <c r="J63" t="s">
        <v>36</v>
      </c>
      <c r="K63" t="s">
        <v>148</v>
      </c>
      <c r="L63" t="s">
        <v>260</v>
      </c>
    </row>
    <row r="64" spans="1:12" x14ac:dyDescent="0.2">
      <c r="A64">
        <v>2911</v>
      </c>
      <c r="B64" t="s">
        <v>255</v>
      </c>
      <c r="C64" t="s">
        <v>12</v>
      </c>
      <c r="D64" t="s">
        <v>12</v>
      </c>
      <c r="E64">
        <v>0</v>
      </c>
      <c r="F64" t="s">
        <v>382</v>
      </c>
      <c r="G64" s="34" t="s">
        <v>391</v>
      </c>
      <c r="H64" t="s">
        <v>14</v>
      </c>
      <c r="I64" t="s">
        <v>390</v>
      </c>
      <c r="J64" t="s">
        <v>36</v>
      </c>
      <c r="K64" t="s">
        <v>17</v>
      </c>
      <c r="L64" t="s">
        <v>276</v>
      </c>
    </row>
    <row r="65" spans="1:12" x14ac:dyDescent="0.2">
      <c r="A65">
        <v>2917</v>
      </c>
      <c r="B65" t="s">
        <v>255</v>
      </c>
      <c r="C65" t="s">
        <v>12</v>
      </c>
      <c r="D65" t="s">
        <v>12</v>
      </c>
      <c r="E65">
        <v>0</v>
      </c>
      <c r="F65" t="s">
        <v>32</v>
      </c>
      <c r="G65" s="34" t="s">
        <v>391</v>
      </c>
      <c r="H65" t="s">
        <v>56</v>
      </c>
      <c r="I65" t="s">
        <v>49</v>
      </c>
      <c r="J65" t="s">
        <v>16</v>
      </c>
      <c r="K65" t="s">
        <v>17</v>
      </c>
      <c r="L65" t="s">
        <v>356</v>
      </c>
    </row>
    <row r="66" spans="1:12" x14ac:dyDescent="0.2">
      <c r="A66">
        <v>2920</v>
      </c>
      <c r="B66" t="s">
        <v>255</v>
      </c>
      <c r="C66" t="s">
        <v>12</v>
      </c>
      <c r="D66" t="s">
        <v>12</v>
      </c>
      <c r="E66">
        <v>0</v>
      </c>
      <c r="F66" t="s">
        <v>32</v>
      </c>
      <c r="G66" s="34" t="s">
        <v>391</v>
      </c>
      <c r="H66" t="s">
        <v>21</v>
      </c>
      <c r="I66" t="s">
        <v>73</v>
      </c>
      <c r="J66" t="s">
        <v>25</v>
      </c>
      <c r="K66" t="s">
        <v>17</v>
      </c>
      <c r="L66" t="s">
        <v>276</v>
      </c>
    </row>
    <row r="67" spans="1:12" x14ac:dyDescent="0.2">
      <c r="A67">
        <v>2931</v>
      </c>
      <c r="B67" t="s">
        <v>255</v>
      </c>
      <c r="C67" t="s">
        <v>12</v>
      </c>
      <c r="D67" t="s">
        <v>12</v>
      </c>
      <c r="E67">
        <v>0</v>
      </c>
      <c r="F67" t="s">
        <v>32</v>
      </c>
      <c r="G67" s="34" t="s">
        <v>391</v>
      </c>
      <c r="H67" t="s">
        <v>14</v>
      </c>
      <c r="I67" t="s">
        <v>390</v>
      </c>
      <c r="J67" t="s">
        <v>36</v>
      </c>
      <c r="K67" t="s">
        <v>17</v>
      </c>
      <c r="L67" t="s">
        <v>298</v>
      </c>
    </row>
    <row r="68" spans="1:12" x14ac:dyDescent="0.2">
      <c r="A68">
        <v>2937</v>
      </c>
      <c r="B68" t="s">
        <v>255</v>
      </c>
      <c r="C68" t="s">
        <v>12</v>
      </c>
      <c r="D68" t="s">
        <v>12</v>
      </c>
      <c r="E68">
        <v>0</v>
      </c>
      <c r="F68" t="s">
        <v>32</v>
      </c>
      <c r="G68" s="34" t="s">
        <v>391</v>
      </c>
      <c r="H68" t="s">
        <v>21</v>
      </c>
      <c r="I68" t="s">
        <v>65</v>
      </c>
      <c r="J68" t="s">
        <v>51</v>
      </c>
      <c r="K68" t="s">
        <v>17</v>
      </c>
      <c r="L68" t="s">
        <v>274</v>
      </c>
    </row>
    <row r="69" spans="1:12" x14ac:dyDescent="0.2">
      <c r="A69">
        <v>2941</v>
      </c>
      <c r="B69" t="s">
        <v>255</v>
      </c>
      <c r="C69" t="s">
        <v>12</v>
      </c>
      <c r="D69" t="s">
        <v>12</v>
      </c>
      <c r="E69">
        <v>0</v>
      </c>
      <c r="F69" t="s">
        <v>382</v>
      </c>
      <c r="G69" s="34" t="s">
        <v>391</v>
      </c>
      <c r="H69" t="s">
        <v>14</v>
      </c>
      <c r="I69" t="s">
        <v>390</v>
      </c>
      <c r="J69" t="s">
        <v>36</v>
      </c>
      <c r="K69" t="s">
        <v>17</v>
      </c>
      <c r="L69" t="s">
        <v>326</v>
      </c>
    </row>
    <row r="70" spans="1:12" x14ac:dyDescent="0.2">
      <c r="A70">
        <v>2967</v>
      </c>
      <c r="B70" t="s">
        <v>255</v>
      </c>
      <c r="C70" t="s">
        <v>19</v>
      </c>
      <c r="D70" t="s">
        <v>19</v>
      </c>
      <c r="E70">
        <v>0</v>
      </c>
      <c r="F70" t="s">
        <v>382</v>
      </c>
      <c r="G70" s="34" t="s">
        <v>391</v>
      </c>
      <c r="H70" t="s">
        <v>21</v>
      </c>
      <c r="I70" t="s">
        <v>65</v>
      </c>
      <c r="J70" t="s">
        <v>51</v>
      </c>
      <c r="K70" t="s">
        <v>17</v>
      </c>
      <c r="L70" t="s">
        <v>150</v>
      </c>
    </row>
    <row r="71" spans="1:12" x14ac:dyDescent="0.2">
      <c r="A71">
        <v>2969</v>
      </c>
      <c r="B71" t="s">
        <v>255</v>
      </c>
      <c r="C71" t="s">
        <v>12</v>
      </c>
      <c r="D71" t="s">
        <v>12</v>
      </c>
      <c r="E71">
        <v>0</v>
      </c>
      <c r="F71" t="s">
        <v>32</v>
      </c>
      <c r="G71" s="34" t="s">
        <v>391</v>
      </c>
      <c r="H71" t="s">
        <v>56</v>
      </c>
      <c r="I71" t="s">
        <v>390</v>
      </c>
      <c r="J71" t="s">
        <v>36</v>
      </c>
      <c r="K71" t="s">
        <v>17</v>
      </c>
      <c r="L71" t="s">
        <v>268</v>
      </c>
    </row>
    <row r="72" spans="1:12" x14ac:dyDescent="0.2">
      <c r="A72">
        <v>3146</v>
      </c>
      <c r="B72" t="s">
        <v>255</v>
      </c>
      <c r="C72" t="s">
        <v>12</v>
      </c>
      <c r="D72" t="s">
        <v>12</v>
      </c>
      <c r="E72">
        <v>0</v>
      </c>
      <c r="F72" t="s">
        <v>382</v>
      </c>
      <c r="G72" s="34" t="s">
        <v>391</v>
      </c>
      <c r="H72" t="s">
        <v>14</v>
      </c>
      <c r="I72" t="s">
        <v>390</v>
      </c>
      <c r="J72" t="s">
        <v>36</v>
      </c>
      <c r="K72" t="s">
        <v>17</v>
      </c>
      <c r="L72" t="s">
        <v>335</v>
      </c>
    </row>
    <row r="73" spans="1:12" x14ac:dyDescent="0.2">
      <c r="A73">
        <v>3159</v>
      </c>
      <c r="B73" t="s">
        <v>255</v>
      </c>
      <c r="C73" t="s">
        <v>19</v>
      </c>
      <c r="D73" t="s">
        <v>19</v>
      </c>
      <c r="E73">
        <v>0</v>
      </c>
      <c r="F73" t="s">
        <v>32</v>
      </c>
      <c r="G73" s="34" t="s">
        <v>404</v>
      </c>
      <c r="H73" t="s">
        <v>21</v>
      </c>
      <c r="I73" t="s">
        <v>50</v>
      </c>
      <c r="J73" t="s">
        <v>51</v>
      </c>
      <c r="K73" t="s">
        <v>33</v>
      </c>
      <c r="L73" t="s">
        <v>358</v>
      </c>
    </row>
    <row r="74" spans="1:12" x14ac:dyDescent="0.2">
      <c r="A74">
        <v>3193</v>
      </c>
      <c r="B74" t="s">
        <v>255</v>
      </c>
      <c r="C74" t="s">
        <v>19</v>
      </c>
      <c r="D74" t="s">
        <v>19</v>
      </c>
      <c r="E74">
        <v>0</v>
      </c>
      <c r="F74" t="s">
        <v>382</v>
      </c>
      <c r="G74" s="34" t="s">
        <v>391</v>
      </c>
      <c r="H74" t="s">
        <v>21</v>
      </c>
      <c r="I74" t="s">
        <v>24</v>
      </c>
      <c r="J74" t="s">
        <v>25</v>
      </c>
      <c r="K74" t="s">
        <v>37</v>
      </c>
      <c r="L74" t="s">
        <v>315</v>
      </c>
    </row>
    <row r="75" spans="1:12" x14ac:dyDescent="0.2">
      <c r="A75">
        <v>3227</v>
      </c>
      <c r="B75" t="s">
        <v>255</v>
      </c>
      <c r="C75" t="s">
        <v>12</v>
      </c>
      <c r="D75" t="s">
        <v>12</v>
      </c>
      <c r="E75">
        <v>0</v>
      </c>
      <c r="F75" t="s">
        <v>382</v>
      </c>
      <c r="G75" s="34" t="s">
        <v>36</v>
      </c>
      <c r="H75" t="s">
        <v>28</v>
      </c>
      <c r="I75" t="s">
        <v>390</v>
      </c>
      <c r="J75" t="s">
        <v>36</v>
      </c>
      <c r="K75" t="s">
        <v>37</v>
      </c>
      <c r="L75" t="s">
        <v>37</v>
      </c>
    </row>
    <row r="76" spans="1:12" x14ac:dyDescent="0.2">
      <c r="A76">
        <v>3253</v>
      </c>
      <c r="B76" t="s">
        <v>255</v>
      </c>
      <c r="C76" t="s">
        <v>12</v>
      </c>
      <c r="D76" t="s">
        <v>12</v>
      </c>
      <c r="E76">
        <v>0</v>
      </c>
      <c r="F76" t="s">
        <v>13</v>
      </c>
      <c r="G76" s="34" t="s">
        <v>396</v>
      </c>
      <c r="H76" t="s">
        <v>28</v>
      </c>
      <c r="I76" t="s">
        <v>390</v>
      </c>
      <c r="J76" t="s">
        <v>36</v>
      </c>
      <c r="K76" t="s">
        <v>33</v>
      </c>
      <c r="L76" t="s">
        <v>352</v>
      </c>
    </row>
    <row r="77" spans="1:12" x14ac:dyDescent="0.2">
      <c r="A77">
        <v>3273</v>
      </c>
      <c r="B77" t="s">
        <v>255</v>
      </c>
      <c r="C77" t="s">
        <v>12</v>
      </c>
      <c r="D77" t="s">
        <v>12</v>
      </c>
      <c r="E77">
        <v>0</v>
      </c>
      <c r="F77" t="s">
        <v>32</v>
      </c>
      <c r="G77" s="34" t="s">
        <v>404</v>
      </c>
      <c r="H77" t="s">
        <v>28</v>
      </c>
      <c r="I77" t="s">
        <v>50</v>
      </c>
      <c r="J77" t="s">
        <v>51</v>
      </c>
      <c r="K77" t="s">
        <v>33</v>
      </c>
      <c r="L77" t="s">
        <v>371</v>
      </c>
    </row>
    <row r="78" spans="1:12" x14ac:dyDescent="0.2">
      <c r="A78">
        <v>3279</v>
      </c>
      <c r="B78" t="s">
        <v>255</v>
      </c>
      <c r="C78" t="s">
        <v>12</v>
      </c>
      <c r="D78" t="s">
        <v>12</v>
      </c>
      <c r="E78">
        <v>0</v>
      </c>
      <c r="F78" t="s">
        <v>32</v>
      </c>
      <c r="G78" s="34" t="s">
        <v>404</v>
      </c>
      <c r="H78" t="s">
        <v>28</v>
      </c>
      <c r="I78" t="s">
        <v>50</v>
      </c>
      <c r="J78" t="s">
        <v>51</v>
      </c>
      <c r="K78" t="s">
        <v>33</v>
      </c>
      <c r="L78" t="s">
        <v>98</v>
      </c>
    </row>
    <row r="79" spans="1:12" x14ac:dyDescent="0.2">
      <c r="A79">
        <v>3280</v>
      </c>
      <c r="B79" t="s">
        <v>255</v>
      </c>
      <c r="C79" t="s">
        <v>12</v>
      </c>
      <c r="D79" t="s">
        <v>12</v>
      </c>
      <c r="E79">
        <v>0</v>
      </c>
      <c r="F79" t="s">
        <v>32</v>
      </c>
      <c r="G79" s="34" t="s">
        <v>404</v>
      </c>
      <c r="H79" t="s">
        <v>28</v>
      </c>
      <c r="I79" t="s">
        <v>50</v>
      </c>
      <c r="J79" t="s">
        <v>51</v>
      </c>
      <c r="K79" t="s">
        <v>33</v>
      </c>
      <c r="L79" t="s">
        <v>264</v>
      </c>
    </row>
    <row r="80" spans="1:12" x14ac:dyDescent="0.2">
      <c r="A80">
        <v>3329</v>
      </c>
      <c r="B80" t="s">
        <v>255</v>
      </c>
      <c r="C80" t="s">
        <v>12</v>
      </c>
      <c r="D80" t="s">
        <v>20</v>
      </c>
      <c r="E80">
        <v>1</v>
      </c>
      <c r="F80" t="s">
        <v>381</v>
      </c>
      <c r="G80" s="34" t="s">
        <v>391</v>
      </c>
      <c r="H80" t="s">
        <v>21</v>
      </c>
      <c r="I80" t="s">
        <v>73</v>
      </c>
      <c r="J80" t="s">
        <v>25</v>
      </c>
      <c r="K80" t="s">
        <v>37</v>
      </c>
      <c r="L80" t="s">
        <v>53</v>
      </c>
    </row>
    <row r="81" spans="1:12" x14ac:dyDescent="0.2">
      <c r="A81">
        <v>3333</v>
      </c>
      <c r="B81" t="s">
        <v>255</v>
      </c>
      <c r="C81" t="s">
        <v>12</v>
      </c>
      <c r="D81" t="s">
        <v>20</v>
      </c>
      <c r="E81">
        <v>1</v>
      </c>
      <c r="F81" t="s">
        <v>381</v>
      </c>
      <c r="G81" s="34" t="s">
        <v>402</v>
      </c>
      <c r="H81" t="s">
        <v>21</v>
      </c>
      <c r="I81" t="s">
        <v>82</v>
      </c>
      <c r="J81" t="s">
        <v>51</v>
      </c>
      <c r="K81" t="s">
        <v>55</v>
      </c>
      <c r="L81" t="s">
        <v>390</v>
      </c>
    </row>
    <row r="82" spans="1:12" x14ac:dyDescent="0.2">
      <c r="A82">
        <v>3346</v>
      </c>
      <c r="B82" t="s">
        <v>255</v>
      </c>
      <c r="C82" t="s">
        <v>19</v>
      </c>
      <c r="D82" t="s">
        <v>19</v>
      </c>
      <c r="E82">
        <v>0</v>
      </c>
      <c r="F82" t="s">
        <v>382</v>
      </c>
      <c r="G82" s="34" t="s">
        <v>391</v>
      </c>
      <c r="H82" t="s">
        <v>21</v>
      </c>
      <c r="I82" t="s">
        <v>61</v>
      </c>
      <c r="J82" t="s">
        <v>30</v>
      </c>
      <c r="K82" t="s">
        <v>26</v>
      </c>
      <c r="L82" t="s">
        <v>199</v>
      </c>
    </row>
    <row r="83" spans="1:12" x14ac:dyDescent="0.2">
      <c r="A83">
        <v>3377</v>
      </c>
      <c r="B83" t="s">
        <v>255</v>
      </c>
      <c r="C83" t="s">
        <v>12</v>
      </c>
      <c r="D83" t="s">
        <v>12</v>
      </c>
      <c r="E83">
        <v>0</v>
      </c>
      <c r="F83" t="s">
        <v>13</v>
      </c>
      <c r="G83" s="34" t="s">
        <v>404</v>
      </c>
      <c r="H83" t="s">
        <v>14</v>
      </c>
      <c r="I83" t="s">
        <v>50</v>
      </c>
      <c r="J83" t="s">
        <v>51</v>
      </c>
      <c r="K83" t="s">
        <v>17</v>
      </c>
      <c r="L83" t="s">
        <v>366</v>
      </c>
    </row>
    <row r="84" spans="1:12" x14ac:dyDescent="0.2">
      <c r="A84">
        <v>3504</v>
      </c>
      <c r="B84" t="s">
        <v>255</v>
      </c>
      <c r="C84" t="s">
        <v>12</v>
      </c>
      <c r="D84" t="s">
        <v>12</v>
      </c>
      <c r="E84">
        <v>0</v>
      </c>
      <c r="F84" t="s">
        <v>32</v>
      </c>
      <c r="G84" s="34" t="s">
        <v>402</v>
      </c>
      <c r="H84" t="s">
        <v>14</v>
      </c>
      <c r="I84" t="s">
        <v>61</v>
      </c>
      <c r="J84" t="s">
        <v>30</v>
      </c>
      <c r="K84" t="s">
        <v>33</v>
      </c>
      <c r="L84" t="s">
        <v>259</v>
      </c>
    </row>
    <row r="85" spans="1:12" x14ac:dyDescent="0.2">
      <c r="A85">
        <v>3522</v>
      </c>
      <c r="B85" t="s">
        <v>255</v>
      </c>
      <c r="C85" t="s">
        <v>12</v>
      </c>
      <c r="D85" t="s">
        <v>12</v>
      </c>
      <c r="E85">
        <v>0</v>
      </c>
      <c r="F85" t="s">
        <v>13</v>
      </c>
      <c r="G85" s="34" t="s">
        <v>460</v>
      </c>
      <c r="H85" t="s">
        <v>28</v>
      </c>
      <c r="I85" t="s">
        <v>29</v>
      </c>
      <c r="J85" t="s">
        <v>30</v>
      </c>
      <c r="K85" t="s">
        <v>37</v>
      </c>
      <c r="L85" t="s">
        <v>107</v>
      </c>
    </row>
    <row r="86" spans="1:12" x14ac:dyDescent="0.2">
      <c r="A86">
        <v>3570</v>
      </c>
      <c r="B86" t="s">
        <v>255</v>
      </c>
      <c r="C86" t="s">
        <v>19</v>
      </c>
      <c r="D86" t="s">
        <v>20</v>
      </c>
      <c r="E86">
        <v>1</v>
      </c>
      <c r="F86" t="s">
        <v>381</v>
      </c>
      <c r="G86" s="34" t="s">
        <v>391</v>
      </c>
      <c r="H86" t="s">
        <v>21</v>
      </c>
      <c r="I86" t="s">
        <v>29</v>
      </c>
      <c r="J86" t="s">
        <v>30</v>
      </c>
      <c r="K86" t="s">
        <v>39</v>
      </c>
      <c r="L86" t="s">
        <v>40</v>
      </c>
    </row>
    <row r="87" spans="1:12" x14ac:dyDescent="0.2">
      <c r="A87">
        <v>3637</v>
      </c>
      <c r="B87" t="s">
        <v>255</v>
      </c>
      <c r="C87" t="s">
        <v>12</v>
      </c>
      <c r="D87" t="s">
        <v>12</v>
      </c>
      <c r="E87">
        <v>0</v>
      </c>
      <c r="F87" t="s">
        <v>13</v>
      </c>
      <c r="G87" s="34" t="s">
        <v>391</v>
      </c>
      <c r="H87" t="s">
        <v>44</v>
      </c>
      <c r="I87" t="s">
        <v>61</v>
      </c>
      <c r="J87" t="s">
        <v>30</v>
      </c>
      <c r="K87" t="s">
        <v>83</v>
      </c>
      <c r="L87" t="s">
        <v>295</v>
      </c>
    </row>
    <row r="88" spans="1:12" x14ac:dyDescent="0.2">
      <c r="A88">
        <v>3658</v>
      </c>
      <c r="B88" t="s">
        <v>255</v>
      </c>
      <c r="C88" t="s">
        <v>12</v>
      </c>
      <c r="D88" t="s">
        <v>12</v>
      </c>
      <c r="E88">
        <v>0</v>
      </c>
      <c r="F88" t="s">
        <v>382</v>
      </c>
      <c r="G88" s="34" t="s">
        <v>391</v>
      </c>
      <c r="H88" t="s">
        <v>28</v>
      </c>
      <c r="I88" t="s">
        <v>29</v>
      </c>
      <c r="J88" t="s">
        <v>30</v>
      </c>
      <c r="K88" t="s">
        <v>26</v>
      </c>
      <c r="L88" t="s">
        <v>258</v>
      </c>
    </row>
    <row r="89" spans="1:12" x14ac:dyDescent="0.2">
      <c r="A89">
        <v>3675</v>
      </c>
      <c r="B89" t="s">
        <v>255</v>
      </c>
      <c r="C89" t="s">
        <v>12</v>
      </c>
      <c r="D89" t="s">
        <v>12</v>
      </c>
      <c r="E89">
        <v>0</v>
      </c>
      <c r="F89" t="s">
        <v>382</v>
      </c>
      <c r="G89" s="34" t="s">
        <v>402</v>
      </c>
      <c r="H89" t="s">
        <v>28</v>
      </c>
      <c r="I89" t="s">
        <v>45</v>
      </c>
      <c r="J89" t="s">
        <v>23</v>
      </c>
      <c r="K89" t="s">
        <v>39</v>
      </c>
      <c r="L89" t="s">
        <v>357</v>
      </c>
    </row>
    <row r="90" spans="1:12" x14ac:dyDescent="0.2">
      <c r="A90">
        <v>3683</v>
      </c>
      <c r="B90" t="s">
        <v>255</v>
      </c>
      <c r="C90" t="s">
        <v>12</v>
      </c>
      <c r="D90" t="s">
        <v>12</v>
      </c>
      <c r="E90">
        <v>0</v>
      </c>
      <c r="F90" t="s">
        <v>13</v>
      </c>
      <c r="G90" s="34" t="s">
        <v>402</v>
      </c>
      <c r="H90" t="s">
        <v>28</v>
      </c>
      <c r="I90" t="s">
        <v>45</v>
      </c>
      <c r="J90" t="s">
        <v>42</v>
      </c>
      <c r="K90" t="s">
        <v>17</v>
      </c>
      <c r="L90" t="s">
        <v>299</v>
      </c>
    </row>
    <row r="91" spans="1:12" x14ac:dyDescent="0.2">
      <c r="A91">
        <v>3747</v>
      </c>
      <c r="B91" t="s">
        <v>255</v>
      </c>
      <c r="C91" t="s">
        <v>19</v>
      </c>
      <c r="D91" t="s">
        <v>19</v>
      </c>
      <c r="E91">
        <v>0</v>
      </c>
      <c r="F91" t="s">
        <v>382</v>
      </c>
      <c r="G91" s="34" t="s">
        <v>402</v>
      </c>
      <c r="H91" t="s">
        <v>21</v>
      </c>
      <c r="I91" t="s">
        <v>82</v>
      </c>
      <c r="J91" t="s">
        <v>51</v>
      </c>
      <c r="K91" t="s">
        <v>37</v>
      </c>
      <c r="L91" t="s">
        <v>270</v>
      </c>
    </row>
    <row r="92" spans="1:12" x14ac:dyDescent="0.2">
      <c r="A92">
        <v>3810</v>
      </c>
      <c r="B92" t="s">
        <v>255</v>
      </c>
      <c r="C92" t="s">
        <v>12</v>
      </c>
      <c r="D92" t="s">
        <v>12</v>
      </c>
      <c r="E92">
        <v>0</v>
      </c>
      <c r="F92" t="s">
        <v>13</v>
      </c>
      <c r="G92" s="34" t="s">
        <v>402</v>
      </c>
      <c r="H92" t="s">
        <v>28</v>
      </c>
      <c r="I92" t="s">
        <v>61</v>
      </c>
      <c r="J92" t="s">
        <v>30</v>
      </c>
      <c r="K92" t="s">
        <v>37</v>
      </c>
      <c r="L92" t="s">
        <v>266</v>
      </c>
    </row>
    <row r="93" spans="1:12" x14ac:dyDescent="0.2">
      <c r="A93">
        <v>3857</v>
      </c>
      <c r="B93" t="s">
        <v>255</v>
      </c>
      <c r="C93" t="s">
        <v>19</v>
      </c>
      <c r="D93" t="s">
        <v>20</v>
      </c>
      <c r="E93">
        <v>1</v>
      </c>
      <c r="F93" t="s">
        <v>381</v>
      </c>
      <c r="G93" s="34" t="s">
        <v>391</v>
      </c>
      <c r="H93" t="s">
        <v>21</v>
      </c>
      <c r="I93" t="s">
        <v>113</v>
      </c>
      <c r="J93" t="s">
        <v>42</v>
      </c>
      <c r="K93" t="s">
        <v>37</v>
      </c>
      <c r="L93" t="s">
        <v>332</v>
      </c>
    </row>
    <row r="94" spans="1:12" x14ac:dyDescent="0.2">
      <c r="A94">
        <v>3908</v>
      </c>
      <c r="B94" t="s">
        <v>255</v>
      </c>
      <c r="C94" t="s">
        <v>12</v>
      </c>
      <c r="D94" t="s">
        <v>12</v>
      </c>
      <c r="E94">
        <v>0</v>
      </c>
      <c r="F94" t="s">
        <v>13</v>
      </c>
      <c r="G94" s="34" t="s">
        <v>391</v>
      </c>
      <c r="H94" t="s">
        <v>28</v>
      </c>
      <c r="I94" t="s">
        <v>49</v>
      </c>
      <c r="J94" t="s">
        <v>16</v>
      </c>
      <c r="K94" t="s">
        <v>54</v>
      </c>
      <c r="L94" t="s">
        <v>359</v>
      </c>
    </row>
    <row r="95" spans="1:12" x14ac:dyDescent="0.2">
      <c r="A95">
        <v>3959</v>
      </c>
      <c r="B95" t="s">
        <v>255</v>
      </c>
      <c r="C95" t="s">
        <v>12</v>
      </c>
      <c r="D95" t="s">
        <v>12</v>
      </c>
      <c r="E95">
        <v>0</v>
      </c>
      <c r="F95" t="s">
        <v>13</v>
      </c>
      <c r="G95" s="34" t="s">
        <v>420</v>
      </c>
      <c r="H95" t="s">
        <v>21</v>
      </c>
      <c r="I95" t="s">
        <v>49</v>
      </c>
      <c r="J95" t="s">
        <v>16</v>
      </c>
      <c r="K95" t="s">
        <v>17</v>
      </c>
      <c r="L95" t="s">
        <v>290</v>
      </c>
    </row>
    <row r="96" spans="1:12" x14ac:dyDescent="0.2">
      <c r="A96">
        <v>3968</v>
      </c>
      <c r="B96" t="s">
        <v>255</v>
      </c>
      <c r="C96" t="s">
        <v>12</v>
      </c>
      <c r="D96" t="s">
        <v>12</v>
      </c>
      <c r="E96">
        <v>0</v>
      </c>
      <c r="F96" t="s">
        <v>382</v>
      </c>
      <c r="G96" s="34" t="s">
        <v>391</v>
      </c>
      <c r="H96" t="s">
        <v>14</v>
      </c>
      <c r="I96" t="s">
        <v>129</v>
      </c>
      <c r="J96" t="s">
        <v>25</v>
      </c>
      <c r="K96" t="s">
        <v>37</v>
      </c>
      <c r="L96" t="s">
        <v>107</v>
      </c>
    </row>
    <row r="97" spans="1:12" x14ac:dyDescent="0.2">
      <c r="A97">
        <v>4054</v>
      </c>
      <c r="B97" t="s">
        <v>255</v>
      </c>
      <c r="C97" t="s">
        <v>12</v>
      </c>
      <c r="D97" t="s">
        <v>12</v>
      </c>
      <c r="E97">
        <v>0</v>
      </c>
      <c r="F97" t="s">
        <v>13</v>
      </c>
      <c r="G97" s="34" t="s">
        <v>391</v>
      </c>
      <c r="H97" t="s">
        <v>28</v>
      </c>
      <c r="I97" t="s">
        <v>29</v>
      </c>
      <c r="J97" t="s">
        <v>30</v>
      </c>
      <c r="K97" t="s">
        <v>17</v>
      </c>
      <c r="L97" t="s">
        <v>297</v>
      </c>
    </row>
    <row r="98" spans="1:12" x14ac:dyDescent="0.2">
      <c r="A98">
        <v>4086</v>
      </c>
      <c r="B98" t="s">
        <v>255</v>
      </c>
      <c r="C98" t="s">
        <v>19</v>
      </c>
      <c r="D98" t="s">
        <v>20</v>
      </c>
      <c r="E98">
        <v>1</v>
      </c>
      <c r="F98" t="s">
        <v>381</v>
      </c>
      <c r="G98" s="34" t="s">
        <v>391</v>
      </c>
      <c r="H98" t="s">
        <v>21</v>
      </c>
      <c r="I98" t="s">
        <v>121</v>
      </c>
      <c r="J98" t="s">
        <v>25</v>
      </c>
      <c r="K98" t="s">
        <v>63</v>
      </c>
      <c r="L98" t="s">
        <v>347</v>
      </c>
    </row>
    <row r="99" spans="1:12" x14ac:dyDescent="0.2">
      <c r="A99">
        <v>4136</v>
      </c>
      <c r="B99" t="s">
        <v>255</v>
      </c>
      <c r="C99" t="s">
        <v>12</v>
      </c>
      <c r="D99" t="s">
        <v>20</v>
      </c>
      <c r="E99">
        <v>1</v>
      </c>
      <c r="F99" t="s">
        <v>381</v>
      </c>
      <c r="G99" s="34" t="s">
        <v>391</v>
      </c>
      <c r="H99" t="s">
        <v>21</v>
      </c>
      <c r="I99" t="s">
        <v>49</v>
      </c>
      <c r="J99" t="s">
        <v>16</v>
      </c>
      <c r="K99" t="s">
        <v>39</v>
      </c>
      <c r="L99" t="s">
        <v>39</v>
      </c>
    </row>
    <row r="100" spans="1:12" x14ac:dyDescent="0.2">
      <c r="A100">
        <v>4277</v>
      </c>
      <c r="B100" t="s">
        <v>255</v>
      </c>
      <c r="C100" t="s">
        <v>12</v>
      </c>
      <c r="D100" t="s">
        <v>12</v>
      </c>
      <c r="E100">
        <v>0</v>
      </c>
      <c r="F100" t="s">
        <v>32</v>
      </c>
      <c r="G100" s="34" t="s">
        <v>402</v>
      </c>
      <c r="H100" t="s">
        <v>56</v>
      </c>
      <c r="I100" t="s">
        <v>45</v>
      </c>
      <c r="J100" t="s">
        <v>23</v>
      </c>
      <c r="K100" t="s">
        <v>47</v>
      </c>
      <c r="L100" t="s">
        <v>210</v>
      </c>
    </row>
    <row r="101" spans="1:12" x14ac:dyDescent="0.2">
      <c r="A101">
        <v>4280</v>
      </c>
      <c r="B101" t="s">
        <v>255</v>
      </c>
      <c r="C101" t="s">
        <v>12</v>
      </c>
      <c r="D101" t="s">
        <v>12</v>
      </c>
      <c r="E101">
        <v>0</v>
      </c>
      <c r="F101" t="s">
        <v>32</v>
      </c>
      <c r="G101" s="34" t="s">
        <v>402</v>
      </c>
      <c r="H101" t="s">
        <v>56</v>
      </c>
      <c r="I101" t="s">
        <v>45</v>
      </c>
      <c r="J101" t="s">
        <v>23</v>
      </c>
      <c r="K101" t="s">
        <v>47</v>
      </c>
      <c r="L101" t="s">
        <v>210</v>
      </c>
    </row>
    <row r="102" spans="1:12" x14ac:dyDescent="0.2">
      <c r="A102">
        <v>4305</v>
      </c>
      <c r="B102" t="s">
        <v>255</v>
      </c>
      <c r="C102" t="s">
        <v>12</v>
      </c>
      <c r="D102" t="s">
        <v>12</v>
      </c>
      <c r="E102">
        <v>0</v>
      </c>
      <c r="F102" t="s">
        <v>13</v>
      </c>
      <c r="G102" s="34" t="s">
        <v>396</v>
      </c>
      <c r="H102" t="s">
        <v>56</v>
      </c>
      <c r="I102" t="s">
        <v>390</v>
      </c>
      <c r="J102" t="s">
        <v>36</v>
      </c>
      <c r="K102" t="s">
        <v>148</v>
      </c>
      <c r="L102" t="s">
        <v>296</v>
      </c>
    </row>
    <row r="103" spans="1:12" x14ac:dyDescent="0.2">
      <c r="A103">
        <v>4335</v>
      </c>
      <c r="B103" t="s">
        <v>255</v>
      </c>
      <c r="C103" t="s">
        <v>12</v>
      </c>
      <c r="D103" t="s">
        <v>12</v>
      </c>
      <c r="E103">
        <v>0</v>
      </c>
      <c r="F103" t="s">
        <v>13</v>
      </c>
      <c r="G103" s="34" t="s">
        <v>402</v>
      </c>
      <c r="H103" t="s">
        <v>44</v>
      </c>
      <c r="I103" t="s">
        <v>29</v>
      </c>
      <c r="J103" t="s">
        <v>30</v>
      </c>
      <c r="K103" t="s">
        <v>37</v>
      </c>
      <c r="L103" t="s">
        <v>370</v>
      </c>
    </row>
    <row r="104" spans="1:12" x14ac:dyDescent="0.2">
      <c r="A104">
        <v>4379</v>
      </c>
      <c r="B104" t="s">
        <v>255</v>
      </c>
      <c r="C104" t="s">
        <v>19</v>
      </c>
      <c r="D104" t="s">
        <v>20</v>
      </c>
      <c r="E104">
        <v>1</v>
      </c>
      <c r="F104" t="s">
        <v>381</v>
      </c>
      <c r="G104" s="34" t="s">
        <v>396</v>
      </c>
      <c r="H104" t="s">
        <v>21</v>
      </c>
      <c r="I104" t="s">
        <v>89</v>
      </c>
      <c r="J104" t="s">
        <v>23</v>
      </c>
      <c r="K104" t="s">
        <v>148</v>
      </c>
      <c r="L104" t="s">
        <v>186</v>
      </c>
    </row>
    <row r="105" spans="1:12" x14ac:dyDescent="0.2">
      <c r="A105">
        <v>4479</v>
      </c>
      <c r="B105" t="s">
        <v>255</v>
      </c>
      <c r="C105" t="s">
        <v>12</v>
      </c>
      <c r="D105" t="s">
        <v>12</v>
      </c>
      <c r="E105">
        <v>0</v>
      </c>
      <c r="F105" t="s">
        <v>382</v>
      </c>
      <c r="G105" s="34" t="s">
        <v>396</v>
      </c>
      <c r="H105" t="s">
        <v>56</v>
      </c>
      <c r="I105" t="s">
        <v>85</v>
      </c>
      <c r="J105" t="s">
        <v>16</v>
      </c>
      <c r="K105" t="s">
        <v>55</v>
      </c>
      <c r="L105" t="s">
        <v>154</v>
      </c>
    </row>
    <row r="106" spans="1:12" x14ac:dyDescent="0.2">
      <c r="A106">
        <v>4533</v>
      </c>
      <c r="B106" t="s">
        <v>255</v>
      </c>
      <c r="C106" t="s">
        <v>12</v>
      </c>
      <c r="D106" t="s">
        <v>12</v>
      </c>
      <c r="E106">
        <v>0</v>
      </c>
      <c r="F106" t="s">
        <v>32</v>
      </c>
      <c r="G106" s="34" t="s">
        <v>391</v>
      </c>
      <c r="H106" t="s">
        <v>28</v>
      </c>
      <c r="I106" t="s">
        <v>29</v>
      </c>
      <c r="J106" t="s">
        <v>30</v>
      </c>
      <c r="K106" t="s">
        <v>37</v>
      </c>
      <c r="L106" t="s">
        <v>266</v>
      </c>
    </row>
    <row r="107" spans="1:12" x14ac:dyDescent="0.2">
      <c r="A107">
        <v>4607</v>
      </c>
      <c r="B107" t="s">
        <v>255</v>
      </c>
      <c r="C107" t="s">
        <v>19</v>
      </c>
      <c r="D107" t="s">
        <v>19</v>
      </c>
      <c r="E107">
        <v>0</v>
      </c>
      <c r="F107" t="s">
        <v>382</v>
      </c>
      <c r="G107" s="34" t="s">
        <v>404</v>
      </c>
      <c r="H107" t="s">
        <v>21</v>
      </c>
      <c r="I107" t="s">
        <v>50</v>
      </c>
      <c r="J107" t="s">
        <v>51</v>
      </c>
      <c r="K107" t="s">
        <v>37</v>
      </c>
      <c r="L107" t="s">
        <v>280</v>
      </c>
    </row>
    <row r="108" spans="1:12" x14ac:dyDescent="0.2">
      <c r="A108">
        <v>4653</v>
      </c>
      <c r="B108" t="s">
        <v>255</v>
      </c>
      <c r="C108" t="s">
        <v>12</v>
      </c>
      <c r="D108" t="s">
        <v>12</v>
      </c>
      <c r="E108">
        <v>0</v>
      </c>
      <c r="F108" t="s">
        <v>13</v>
      </c>
      <c r="G108" s="34" t="s">
        <v>391</v>
      </c>
      <c r="H108" t="s">
        <v>28</v>
      </c>
      <c r="I108" t="s">
        <v>24</v>
      </c>
      <c r="J108" t="s">
        <v>25</v>
      </c>
      <c r="K108" t="s">
        <v>37</v>
      </c>
      <c r="L108" t="s">
        <v>369</v>
      </c>
    </row>
    <row r="109" spans="1:12" x14ac:dyDescent="0.2">
      <c r="A109">
        <v>4698</v>
      </c>
      <c r="B109" t="s">
        <v>255</v>
      </c>
      <c r="C109" t="s">
        <v>19</v>
      </c>
      <c r="D109" t="s">
        <v>20</v>
      </c>
      <c r="E109">
        <v>1</v>
      </c>
      <c r="F109" t="s">
        <v>381</v>
      </c>
      <c r="G109" s="34" t="s">
        <v>391</v>
      </c>
      <c r="H109" t="s">
        <v>21</v>
      </c>
      <c r="I109" t="s">
        <v>22</v>
      </c>
      <c r="J109" t="s">
        <v>23</v>
      </c>
      <c r="K109" t="s">
        <v>26</v>
      </c>
      <c r="L109" t="s">
        <v>62</v>
      </c>
    </row>
    <row r="110" spans="1:12" x14ac:dyDescent="0.2">
      <c r="A110">
        <v>4699</v>
      </c>
      <c r="B110" t="s">
        <v>255</v>
      </c>
      <c r="C110" t="s">
        <v>19</v>
      </c>
      <c r="D110" t="s">
        <v>20</v>
      </c>
      <c r="E110">
        <v>1</v>
      </c>
      <c r="F110" t="s">
        <v>381</v>
      </c>
      <c r="G110" s="34" t="s">
        <v>391</v>
      </c>
      <c r="H110" t="s">
        <v>21</v>
      </c>
      <c r="I110" t="s">
        <v>22</v>
      </c>
      <c r="J110" t="s">
        <v>23</v>
      </c>
      <c r="K110" t="s">
        <v>26</v>
      </c>
      <c r="L110" t="s">
        <v>62</v>
      </c>
    </row>
    <row r="111" spans="1:12" x14ac:dyDescent="0.2">
      <c r="A111">
        <v>4744</v>
      </c>
      <c r="B111" t="s">
        <v>255</v>
      </c>
      <c r="C111" t="s">
        <v>12</v>
      </c>
      <c r="D111" t="s">
        <v>12</v>
      </c>
      <c r="E111">
        <v>0</v>
      </c>
      <c r="F111" t="s">
        <v>32</v>
      </c>
      <c r="G111" s="34" t="s">
        <v>402</v>
      </c>
      <c r="H111" t="s">
        <v>21</v>
      </c>
      <c r="I111" t="s">
        <v>45</v>
      </c>
      <c r="J111" t="s">
        <v>23</v>
      </c>
      <c r="K111" t="s">
        <v>47</v>
      </c>
      <c r="L111" t="s">
        <v>48</v>
      </c>
    </row>
    <row r="112" spans="1:12" x14ac:dyDescent="0.2">
      <c r="A112">
        <v>4745</v>
      </c>
      <c r="B112" t="s">
        <v>255</v>
      </c>
      <c r="C112" t="s">
        <v>12</v>
      </c>
      <c r="D112" t="s">
        <v>12</v>
      </c>
      <c r="E112">
        <v>0</v>
      </c>
      <c r="F112" t="s">
        <v>32</v>
      </c>
      <c r="G112" s="34" t="s">
        <v>402</v>
      </c>
      <c r="H112" t="s">
        <v>21</v>
      </c>
      <c r="I112" t="s">
        <v>45</v>
      </c>
      <c r="J112" t="s">
        <v>23</v>
      </c>
      <c r="K112" t="s">
        <v>47</v>
      </c>
      <c r="L112" t="s">
        <v>48</v>
      </c>
    </row>
    <row r="113" spans="1:12" x14ac:dyDescent="0.2">
      <c r="A113">
        <v>4746</v>
      </c>
      <c r="B113" t="s">
        <v>255</v>
      </c>
      <c r="C113" t="s">
        <v>12</v>
      </c>
      <c r="D113" t="s">
        <v>12</v>
      </c>
      <c r="E113">
        <v>0</v>
      </c>
      <c r="F113" t="s">
        <v>32</v>
      </c>
      <c r="G113" s="34" t="s">
        <v>402</v>
      </c>
      <c r="H113" t="s">
        <v>56</v>
      </c>
      <c r="I113" t="s">
        <v>45</v>
      </c>
      <c r="J113" t="s">
        <v>23</v>
      </c>
      <c r="K113" t="s">
        <v>33</v>
      </c>
      <c r="L113" t="s">
        <v>34</v>
      </c>
    </row>
    <row r="114" spans="1:12" x14ac:dyDescent="0.2">
      <c r="A114">
        <v>4750</v>
      </c>
      <c r="B114" t="s">
        <v>255</v>
      </c>
      <c r="C114" t="s">
        <v>12</v>
      </c>
      <c r="D114" t="s">
        <v>12</v>
      </c>
      <c r="E114">
        <v>0</v>
      </c>
      <c r="F114" t="s">
        <v>13</v>
      </c>
      <c r="G114" s="34" t="s">
        <v>402</v>
      </c>
      <c r="H114" t="s">
        <v>44</v>
      </c>
      <c r="I114" t="s">
        <v>61</v>
      </c>
      <c r="J114" t="s">
        <v>30</v>
      </c>
      <c r="K114" t="s">
        <v>83</v>
      </c>
      <c r="L114" t="s">
        <v>343</v>
      </c>
    </row>
    <row r="115" spans="1:12" x14ac:dyDescent="0.2">
      <c r="A115">
        <v>4838</v>
      </c>
      <c r="B115" t="s">
        <v>255</v>
      </c>
      <c r="C115" t="s">
        <v>19</v>
      </c>
      <c r="D115" t="s">
        <v>19</v>
      </c>
      <c r="E115">
        <v>0</v>
      </c>
      <c r="F115" t="s">
        <v>382</v>
      </c>
      <c r="G115" s="34" t="s">
        <v>396</v>
      </c>
      <c r="H115" t="s">
        <v>21</v>
      </c>
      <c r="I115" t="s">
        <v>390</v>
      </c>
      <c r="J115" t="s">
        <v>30</v>
      </c>
      <c r="K115" t="s">
        <v>33</v>
      </c>
      <c r="L115" t="s">
        <v>263</v>
      </c>
    </row>
    <row r="116" spans="1:12" x14ac:dyDescent="0.2">
      <c r="A116">
        <v>4865</v>
      </c>
      <c r="B116" t="s">
        <v>255</v>
      </c>
      <c r="C116" t="s">
        <v>19</v>
      </c>
      <c r="D116" t="s">
        <v>19</v>
      </c>
      <c r="E116">
        <v>0</v>
      </c>
      <c r="F116" t="s">
        <v>13</v>
      </c>
      <c r="G116" s="34" t="s">
        <v>396</v>
      </c>
      <c r="H116" t="s">
        <v>21</v>
      </c>
      <c r="I116" t="s">
        <v>80</v>
      </c>
      <c r="J116" t="s">
        <v>23</v>
      </c>
      <c r="K116" t="s">
        <v>33</v>
      </c>
      <c r="L116" t="s">
        <v>263</v>
      </c>
    </row>
    <row r="117" spans="1:12" x14ac:dyDescent="0.2">
      <c r="A117">
        <v>4866</v>
      </c>
      <c r="B117" t="s">
        <v>255</v>
      </c>
      <c r="C117" t="s">
        <v>12</v>
      </c>
      <c r="D117" t="s">
        <v>12</v>
      </c>
      <c r="E117">
        <v>0</v>
      </c>
      <c r="F117" t="s">
        <v>13</v>
      </c>
      <c r="G117" s="34" t="s">
        <v>396</v>
      </c>
      <c r="H117" t="s">
        <v>21</v>
      </c>
      <c r="I117" t="s">
        <v>49</v>
      </c>
      <c r="J117" t="s">
        <v>16</v>
      </c>
      <c r="K117" t="s">
        <v>33</v>
      </c>
      <c r="L117" t="s">
        <v>263</v>
      </c>
    </row>
    <row r="118" spans="1:12" x14ac:dyDescent="0.2">
      <c r="A118">
        <v>5034</v>
      </c>
      <c r="B118" t="s">
        <v>255</v>
      </c>
      <c r="C118" t="s">
        <v>19</v>
      </c>
      <c r="D118" t="s">
        <v>19</v>
      </c>
      <c r="E118">
        <v>0</v>
      </c>
      <c r="F118" t="s">
        <v>382</v>
      </c>
      <c r="G118" s="34" t="s">
        <v>391</v>
      </c>
      <c r="H118" t="s">
        <v>21</v>
      </c>
      <c r="I118" t="s">
        <v>323</v>
      </c>
      <c r="J118" t="s">
        <v>25</v>
      </c>
      <c r="K118" t="s">
        <v>17</v>
      </c>
      <c r="L118" t="s">
        <v>324</v>
      </c>
    </row>
    <row r="119" spans="1:12" x14ac:dyDescent="0.2">
      <c r="A119">
        <v>5148</v>
      </c>
      <c r="B119" t="s">
        <v>255</v>
      </c>
      <c r="C119" t="s">
        <v>19</v>
      </c>
      <c r="D119" t="s">
        <v>12</v>
      </c>
      <c r="E119">
        <v>1</v>
      </c>
      <c r="F119" t="s">
        <v>13</v>
      </c>
      <c r="G119" s="34" t="s">
        <v>396</v>
      </c>
      <c r="H119" t="s">
        <v>21</v>
      </c>
      <c r="I119" t="s">
        <v>49</v>
      </c>
      <c r="J119" t="s">
        <v>16</v>
      </c>
      <c r="K119" t="s">
        <v>33</v>
      </c>
      <c r="L119" t="s">
        <v>155</v>
      </c>
    </row>
    <row r="120" spans="1:12" x14ac:dyDescent="0.2">
      <c r="A120">
        <v>5174</v>
      </c>
      <c r="B120" t="s">
        <v>255</v>
      </c>
      <c r="C120" t="s">
        <v>12</v>
      </c>
      <c r="D120" t="s">
        <v>12</v>
      </c>
      <c r="E120">
        <v>0</v>
      </c>
      <c r="F120" t="s">
        <v>13</v>
      </c>
      <c r="G120" s="34" t="s">
        <v>402</v>
      </c>
      <c r="H120" t="s">
        <v>28</v>
      </c>
      <c r="I120" t="s">
        <v>61</v>
      </c>
      <c r="J120" t="s">
        <v>30</v>
      </c>
      <c r="K120" t="s">
        <v>37</v>
      </c>
      <c r="L120" t="s">
        <v>266</v>
      </c>
    </row>
    <row r="121" spans="1:12" x14ac:dyDescent="0.2">
      <c r="A121">
        <v>5178</v>
      </c>
      <c r="B121" t="s">
        <v>255</v>
      </c>
      <c r="C121" t="s">
        <v>19</v>
      </c>
      <c r="D121" t="s">
        <v>12</v>
      </c>
      <c r="E121">
        <v>1</v>
      </c>
      <c r="F121" t="s">
        <v>382</v>
      </c>
      <c r="G121" s="34" t="s">
        <v>402</v>
      </c>
      <c r="H121" t="s">
        <v>21</v>
      </c>
      <c r="I121" t="s">
        <v>61</v>
      </c>
      <c r="J121" t="s">
        <v>30</v>
      </c>
      <c r="K121" t="s">
        <v>63</v>
      </c>
      <c r="L121" t="s">
        <v>333</v>
      </c>
    </row>
    <row r="122" spans="1:12" x14ac:dyDescent="0.2">
      <c r="A122">
        <v>5185</v>
      </c>
      <c r="B122" t="s">
        <v>255</v>
      </c>
      <c r="C122" t="s">
        <v>12</v>
      </c>
      <c r="D122" t="s">
        <v>12</v>
      </c>
      <c r="E122">
        <v>0</v>
      </c>
      <c r="F122" t="s">
        <v>13</v>
      </c>
      <c r="G122" s="34" t="s">
        <v>402</v>
      </c>
      <c r="H122" t="s">
        <v>28</v>
      </c>
      <c r="I122" t="s">
        <v>61</v>
      </c>
      <c r="J122" t="s">
        <v>30</v>
      </c>
      <c r="K122" t="s">
        <v>26</v>
      </c>
      <c r="L122" t="s">
        <v>283</v>
      </c>
    </row>
    <row r="123" spans="1:12" x14ac:dyDescent="0.2">
      <c r="A123">
        <v>5264</v>
      </c>
      <c r="B123" t="s">
        <v>255</v>
      </c>
      <c r="C123" t="s">
        <v>19</v>
      </c>
      <c r="D123" t="s">
        <v>19</v>
      </c>
      <c r="E123">
        <v>0</v>
      </c>
      <c r="F123" t="s">
        <v>382</v>
      </c>
      <c r="G123" s="34" t="s">
        <v>391</v>
      </c>
      <c r="H123" t="s">
        <v>21</v>
      </c>
      <c r="I123" t="s">
        <v>29</v>
      </c>
      <c r="J123" t="s">
        <v>30</v>
      </c>
      <c r="K123" t="s">
        <v>26</v>
      </c>
      <c r="L123" t="s">
        <v>271</v>
      </c>
    </row>
    <row r="124" spans="1:12" x14ac:dyDescent="0.2">
      <c r="A124">
        <v>5265</v>
      </c>
      <c r="B124" t="s">
        <v>255</v>
      </c>
      <c r="C124" t="s">
        <v>19</v>
      </c>
      <c r="D124" t="s">
        <v>19</v>
      </c>
      <c r="E124">
        <v>0</v>
      </c>
      <c r="F124" t="s">
        <v>382</v>
      </c>
      <c r="G124" s="34" t="s">
        <v>391</v>
      </c>
      <c r="H124" t="s">
        <v>21</v>
      </c>
      <c r="I124" t="s">
        <v>29</v>
      </c>
      <c r="J124" t="s">
        <v>30</v>
      </c>
      <c r="K124" t="s">
        <v>37</v>
      </c>
      <c r="L124" t="s">
        <v>107</v>
      </c>
    </row>
    <row r="125" spans="1:12" x14ac:dyDescent="0.2">
      <c r="A125">
        <v>5296</v>
      </c>
      <c r="B125" t="s">
        <v>255</v>
      </c>
      <c r="C125" t="s">
        <v>12</v>
      </c>
      <c r="D125" t="s">
        <v>12</v>
      </c>
      <c r="E125">
        <v>0</v>
      </c>
      <c r="F125" t="s">
        <v>13</v>
      </c>
      <c r="G125" s="34" t="s">
        <v>402</v>
      </c>
      <c r="H125" t="s">
        <v>28</v>
      </c>
      <c r="I125" t="s">
        <v>61</v>
      </c>
      <c r="J125" t="s">
        <v>30</v>
      </c>
      <c r="K125" t="s">
        <v>26</v>
      </c>
      <c r="L125" t="s">
        <v>372</v>
      </c>
    </row>
    <row r="126" spans="1:12" x14ac:dyDescent="0.2">
      <c r="A126">
        <v>5300</v>
      </c>
      <c r="B126" t="s">
        <v>255</v>
      </c>
      <c r="C126" t="s">
        <v>12</v>
      </c>
      <c r="D126" t="s">
        <v>12</v>
      </c>
      <c r="E126">
        <v>0</v>
      </c>
      <c r="F126" t="s">
        <v>13</v>
      </c>
      <c r="G126" s="34" t="s">
        <v>402</v>
      </c>
      <c r="H126" t="s">
        <v>44</v>
      </c>
      <c r="I126" t="s">
        <v>61</v>
      </c>
      <c r="J126" t="s">
        <v>30</v>
      </c>
      <c r="K126" t="s">
        <v>37</v>
      </c>
      <c r="L126" t="s">
        <v>322</v>
      </c>
    </row>
    <row r="127" spans="1:12" x14ac:dyDescent="0.2">
      <c r="A127">
        <v>5312</v>
      </c>
      <c r="B127" t="s">
        <v>255</v>
      </c>
      <c r="C127" t="s">
        <v>12</v>
      </c>
      <c r="D127" t="s">
        <v>12</v>
      </c>
      <c r="E127">
        <v>0</v>
      </c>
      <c r="F127" t="s">
        <v>13</v>
      </c>
      <c r="G127" s="34" t="s">
        <v>402</v>
      </c>
      <c r="H127" t="s">
        <v>44</v>
      </c>
      <c r="I127" t="s">
        <v>61</v>
      </c>
      <c r="J127" t="s">
        <v>30</v>
      </c>
      <c r="K127" t="s">
        <v>63</v>
      </c>
      <c r="L127" t="s">
        <v>340</v>
      </c>
    </row>
    <row r="128" spans="1:12" x14ac:dyDescent="0.2">
      <c r="A128">
        <v>5315</v>
      </c>
      <c r="B128" t="s">
        <v>255</v>
      </c>
      <c r="C128" t="s">
        <v>12</v>
      </c>
      <c r="D128" t="s">
        <v>12</v>
      </c>
      <c r="E128">
        <v>0</v>
      </c>
      <c r="F128" t="s">
        <v>13</v>
      </c>
      <c r="G128" s="34" t="s">
        <v>402</v>
      </c>
      <c r="H128" t="s">
        <v>28</v>
      </c>
      <c r="I128" t="s">
        <v>61</v>
      </c>
      <c r="J128" t="s">
        <v>30</v>
      </c>
      <c r="K128" t="s">
        <v>26</v>
      </c>
      <c r="L128" t="s">
        <v>379</v>
      </c>
    </row>
    <row r="129" spans="1:12" x14ac:dyDescent="0.2">
      <c r="A129">
        <v>5331</v>
      </c>
      <c r="B129" t="s">
        <v>255</v>
      </c>
      <c r="C129" t="s">
        <v>12</v>
      </c>
      <c r="D129" t="s">
        <v>12</v>
      </c>
      <c r="E129">
        <v>0</v>
      </c>
      <c r="F129" t="s">
        <v>13</v>
      </c>
      <c r="G129" s="34" t="s">
        <v>402</v>
      </c>
      <c r="H129" t="s">
        <v>28</v>
      </c>
      <c r="I129" t="s">
        <v>61</v>
      </c>
      <c r="J129" t="s">
        <v>30</v>
      </c>
      <c r="K129" t="s">
        <v>63</v>
      </c>
      <c r="L129" t="s">
        <v>325</v>
      </c>
    </row>
    <row r="130" spans="1:12" x14ac:dyDescent="0.2">
      <c r="A130">
        <v>5333</v>
      </c>
      <c r="B130" t="s">
        <v>255</v>
      </c>
      <c r="C130" t="s">
        <v>12</v>
      </c>
      <c r="D130" t="s">
        <v>12</v>
      </c>
      <c r="E130">
        <v>0</v>
      </c>
      <c r="F130" t="s">
        <v>32</v>
      </c>
      <c r="G130" s="34" t="s">
        <v>396</v>
      </c>
      <c r="H130" t="s">
        <v>56</v>
      </c>
      <c r="I130" t="s">
        <v>81</v>
      </c>
      <c r="J130" t="s">
        <v>42</v>
      </c>
      <c r="K130" t="s">
        <v>33</v>
      </c>
      <c r="L130" t="s">
        <v>376</v>
      </c>
    </row>
    <row r="131" spans="1:12" x14ac:dyDescent="0.2">
      <c r="A131">
        <v>5338</v>
      </c>
      <c r="B131" t="s">
        <v>255</v>
      </c>
      <c r="C131" t="s">
        <v>12</v>
      </c>
      <c r="D131" t="s">
        <v>12</v>
      </c>
      <c r="E131">
        <v>0</v>
      </c>
      <c r="F131" t="s">
        <v>32</v>
      </c>
      <c r="G131" s="34" t="s">
        <v>396</v>
      </c>
      <c r="H131" t="s">
        <v>56</v>
      </c>
      <c r="I131" t="s">
        <v>81</v>
      </c>
      <c r="J131" t="s">
        <v>42</v>
      </c>
      <c r="K131" t="s">
        <v>148</v>
      </c>
      <c r="L131" t="s">
        <v>190</v>
      </c>
    </row>
    <row r="132" spans="1:12" x14ac:dyDescent="0.2">
      <c r="A132">
        <v>5344</v>
      </c>
      <c r="B132" t="s">
        <v>255</v>
      </c>
      <c r="C132" t="s">
        <v>12</v>
      </c>
      <c r="D132" t="s">
        <v>12</v>
      </c>
      <c r="E132">
        <v>0</v>
      </c>
      <c r="F132" t="s">
        <v>13</v>
      </c>
      <c r="G132" s="34" t="s">
        <v>402</v>
      </c>
      <c r="H132" t="s">
        <v>28</v>
      </c>
      <c r="I132" t="s">
        <v>61</v>
      </c>
      <c r="J132" t="s">
        <v>30</v>
      </c>
      <c r="K132" t="s">
        <v>26</v>
      </c>
      <c r="L132" t="s">
        <v>271</v>
      </c>
    </row>
    <row r="133" spans="1:12" x14ac:dyDescent="0.2">
      <c r="A133">
        <v>5371</v>
      </c>
      <c r="B133" t="s">
        <v>255</v>
      </c>
      <c r="C133" t="s">
        <v>12</v>
      </c>
      <c r="D133" t="s">
        <v>12</v>
      </c>
      <c r="E133">
        <v>0</v>
      </c>
      <c r="F133" t="s">
        <v>13</v>
      </c>
      <c r="G133" s="34" t="s">
        <v>402</v>
      </c>
      <c r="H133" t="s">
        <v>28</v>
      </c>
      <c r="I133" t="s">
        <v>61</v>
      </c>
      <c r="J133" t="s">
        <v>30</v>
      </c>
      <c r="K133" t="s">
        <v>26</v>
      </c>
      <c r="L133" t="s">
        <v>271</v>
      </c>
    </row>
    <row r="134" spans="1:12" x14ac:dyDescent="0.2">
      <c r="A134">
        <v>5403</v>
      </c>
      <c r="B134" t="s">
        <v>255</v>
      </c>
      <c r="C134" t="s">
        <v>19</v>
      </c>
      <c r="D134" t="s">
        <v>20</v>
      </c>
      <c r="E134">
        <v>1</v>
      </c>
      <c r="F134" t="s">
        <v>381</v>
      </c>
      <c r="G134" s="34" t="s">
        <v>402</v>
      </c>
      <c r="H134" t="s">
        <v>21</v>
      </c>
      <c r="I134" t="s">
        <v>82</v>
      </c>
      <c r="J134" t="s">
        <v>51</v>
      </c>
      <c r="K134" t="s">
        <v>55</v>
      </c>
      <c r="L134" t="s">
        <v>390</v>
      </c>
    </row>
    <row r="135" spans="1:12" x14ac:dyDescent="0.2">
      <c r="A135">
        <v>5476</v>
      </c>
      <c r="B135" t="s">
        <v>255</v>
      </c>
      <c r="C135" t="s">
        <v>12</v>
      </c>
      <c r="D135" t="s">
        <v>12</v>
      </c>
      <c r="E135">
        <v>0</v>
      </c>
      <c r="F135" t="s">
        <v>32</v>
      </c>
      <c r="G135" s="34" t="s">
        <v>396</v>
      </c>
      <c r="H135" t="s">
        <v>14</v>
      </c>
      <c r="I135" t="s">
        <v>390</v>
      </c>
      <c r="J135" t="s">
        <v>23</v>
      </c>
      <c r="K135" t="s">
        <v>148</v>
      </c>
      <c r="L135" t="s">
        <v>363</v>
      </c>
    </row>
    <row r="136" spans="1:12" x14ac:dyDescent="0.2">
      <c r="A136">
        <v>5518</v>
      </c>
      <c r="B136" t="s">
        <v>255</v>
      </c>
      <c r="C136" t="s">
        <v>12</v>
      </c>
      <c r="D136" t="s">
        <v>12</v>
      </c>
      <c r="E136">
        <v>0</v>
      </c>
      <c r="F136" t="s">
        <v>13</v>
      </c>
      <c r="G136" s="34" t="s">
        <v>402</v>
      </c>
      <c r="H136" t="s">
        <v>28</v>
      </c>
      <c r="I136" t="s">
        <v>61</v>
      </c>
      <c r="J136" t="s">
        <v>30</v>
      </c>
      <c r="K136" t="s">
        <v>26</v>
      </c>
      <c r="L136" t="s">
        <v>67</v>
      </c>
    </row>
    <row r="137" spans="1:12" x14ac:dyDescent="0.2">
      <c r="A137">
        <v>5661</v>
      </c>
      <c r="B137" t="s">
        <v>255</v>
      </c>
      <c r="C137" t="s">
        <v>12</v>
      </c>
      <c r="D137" t="s">
        <v>12</v>
      </c>
      <c r="E137">
        <v>0</v>
      </c>
      <c r="F137" t="s">
        <v>13</v>
      </c>
      <c r="G137" s="34" t="s">
        <v>459</v>
      </c>
      <c r="H137" t="s">
        <v>56</v>
      </c>
      <c r="I137" t="s">
        <v>49</v>
      </c>
      <c r="J137" t="s">
        <v>16</v>
      </c>
      <c r="K137" t="s">
        <v>148</v>
      </c>
      <c r="L137" t="s">
        <v>309</v>
      </c>
    </row>
    <row r="138" spans="1:12" x14ac:dyDescent="0.2">
      <c r="A138">
        <v>5699</v>
      </c>
      <c r="B138" t="s">
        <v>255</v>
      </c>
      <c r="C138" t="s">
        <v>12</v>
      </c>
      <c r="D138" t="s">
        <v>12</v>
      </c>
      <c r="E138">
        <v>0</v>
      </c>
      <c r="F138" t="s">
        <v>13</v>
      </c>
      <c r="G138" s="34" t="s">
        <v>420</v>
      </c>
      <c r="H138" t="s">
        <v>14</v>
      </c>
      <c r="I138" t="s">
        <v>15</v>
      </c>
      <c r="J138" t="s">
        <v>16</v>
      </c>
      <c r="K138" t="s">
        <v>33</v>
      </c>
      <c r="L138" t="s">
        <v>256</v>
      </c>
    </row>
    <row r="139" spans="1:12" x14ac:dyDescent="0.2">
      <c r="A139">
        <v>5733</v>
      </c>
      <c r="B139" t="s">
        <v>255</v>
      </c>
      <c r="C139" t="s">
        <v>12</v>
      </c>
      <c r="D139" t="s">
        <v>12</v>
      </c>
      <c r="E139">
        <v>0</v>
      </c>
      <c r="F139" t="s">
        <v>32</v>
      </c>
      <c r="G139" s="34" t="s">
        <v>402</v>
      </c>
      <c r="H139" t="s">
        <v>14</v>
      </c>
      <c r="I139" t="s">
        <v>68</v>
      </c>
      <c r="J139" t="s">
        <v>42</v>
      </c>
      <c r="K139" t="s">
        <v>47</v>
      </c>
      <c r="L139" t="s">
        <v>300</v>
      </c>
    </row>
    <row r="140" spans="1:12" x14ac:dyDescent="0.2">
      <c r="A140">
        <v>5771</v>
      </c>
      <c r="B140" t="s">
        <v>255</v>
      </c>
      <c r="C140" t="s">
        <v>19</v>
      </c>
      <c r="D140" t="s">
        <v>19</v>
      </c>
      <c r="E140">
        <v>0</v>
      </c>
      <c r="F140" t="s">
        <v>13</v>
      </c>
      <c r="G140" s="34" t="s">
        <v>459</v>
      </c>
      <c r="H140" t="s">
        <v>21</v>
      </c>
      <c r="I140" t="s">
        <v>89</v>
      </c>
      <c r="J140" t="s">
        <v>23</v>
      </c>
      <c r="K140" t="s">
        <v>33</v>
      </c>
      <c r="L140" t="s">
        <v>320</v>
      </c>
    </row>
    <row r="141" spans="1:12" x14ac:dyDescent="0.2">
      <c r="A141">
        <v>5796</v>
      </c>
      <c r="B141" t="s">
        <v>255</v>
      </c>
      <c r="C141" t="s">
        <v>12</v>
      </c>
      <c r="D141" t="s">
        <v>12</v>
      </c>
      <c r="E141">
        <v>0</v>
      </c>
      <c r="F141" t="s">
        <v>13</v>
      </c>
      <c r="G141" s="34" t="s">
        <v>402</v>
      </c>
      <c r="H141" t="s">
        <v>28</v>
      </c>
      <c r="I141" t="s">
        <v>61</v>
      </c>
      <c r="J141" t="s">
        <v>30</v>
      </c>
      <c r="K141" t="s">
        <v>37</v>
      </c>
      <c r="L141" t="s">
        <v>316</v>
      </c>
    </row>
    <row r="142" spans="1:12" x14ac:dyDescent="0.2">
      <c r="A142">
        <v>5800</v>
      </c>
      <c r="B142" t="s">
        <v>255</v>
      </c>
      <c r="C142" t="s">
        <v>19</v>
      </c>
      <c r="D142" t="s">
        <v>19</v>
      </c>
      <c r="E142">
        <v>0</v>
      </c>
      <c r="F142" t="s">
        <v>13</v>
      </c>
      <c r="G142" s="34" t="s">
        <v>391</v>
      </c>
      <c r="H142" t="s">
        <v>21</v>
      </c>
      <c r="I142" t="s">
        <v>132</v>
      </c>
      <c r="J142" t="s">
        <v>30</v>
      </c>
      <c r="K142" t="s">
        <v>17</v>
      </c>
      <c r="L142" t="s">
        <v>72</v>
      </c>
    </row>
    <row r="143" spans="1:12" x14ac:dyDescent="0.2">
      <c r="A143">
        <v>5807</v>
      </c>
      <c r="B143" t="s">
        <v>255</v>
      </c>
      <c r="C143" t="s">
        <v>12</v>
      </c>
      <c r="D143" t="s">
        <v>12</v>
      </c>
      <c r="E143">
        <v>0</v>
      </c>
      <c r="F143" t="s">
        <v>382</v>
      </c>
      <c r="G143" s="34" t="s">
        <v>391</v>
      </c>
      <c r="H143" t="s">
        <v>28</v>
      </c>
      <c r="I143" t="s">
        <v>29</v>
      </c>
      <c r="J143" t="s">
        <v>30</v>
      </c>
      <c r="K143" t="s">
        <v>54</v>
      </c>
      <c r="L143" t="s">
        <v>267</v>
      </c>
    </row>
    <row r="144" spans="1:12" x14ac:dyDescent="0.2">
      <c r="A144">
        <v>5810</v>
      </c>
      <c r="B144" t="s">
        <v>255</v>
      </c>
      <c r="C144" t="s">
        <v>12</v>
      </c>
      <c r="D144" t="s">
        <v>12</v>
      </c>
      <c r="E144">
        <v>0</v>
      </c>
      <c r="F144" t="s">
        <v>382</v>
      </c>
      <c r="G144" s="34" t="s">
        <v>391</v>
      </c>
      <c r="H144" t="s">
        <v>14</v>
      </c>
      <c r="I144" t="s">
        <v>38</v>
      </c>
      <c r="J144" t="s">
        <v>23</v>
      </c>
      <c r="K144" t="s">
        <v>39</v>
      </c>
      <c r="L144" t="s">
        <v>261</v>
      </c>
    </row>
    <row r="145" spans="1:12" x14ac:dyDescent="0.2">
      <c r="A145">
        <v>5844</v>
      </c>
      <c r="B145" t="s">
        <v>255</v>
      </c>
      <c r="C145" t="s">
        <v>12</v>
      </c>
      <c r="D145" t="s">
        <v>20</v>
      </c>
      <c r="E145">
        <v>1</v>
      </c>
      <c r="F145" t="s">
        <v>381</v>
      </c>
      <c r="G145" s="34" t="s">
        <v>396</v>
      </c>
      <c r="H145" t="s">
        <v>21</v>
      </c>
      <c r="I145" t="s">
        <v>29</v>
      </c>
      <c r="J145" t="s">
        <v>30</v>
      </c>
      <c r="K145" t="s">
        <v>148</v>
      </c>
      <c r="L145" t="s">
        <v>190</v>
      </c>
    </row>
    <row r="146" spans="1:12" x14ac:dyDescent="0.2">
      <c r="A146">
        <v>5891</v>
      </c>
      <c r="B146" t="s">
        <v>255</v>
      </c>
      <c r="C146" t="s">
        <v>19</v>
      </c>
      <c r="D146" t="s">
        <v>20</v>
      </c>
      <c r="E146">
        <v>1</v>
      </c>
      <c r="F146" t="s">
        <v>381</v>
      </c>
      <c r="G146" s="34" t="s">
        <v>402</v>
      </c>
      <c r="H146" t="s">
        <v>21</v>
      </c>
      <c r="I146" t="s">
        <v>50</v>
      </c>
      <c r="J146" t="s">
        <v>51</v>
      </c>
      <c r="K146" t="s">
        <v>47</v>
      </c>
      <c r="L146" t="s">
        <v>237</v>
      </c>
    </row>
    <row r="147" spans="1:12" x14ac:dyDescent="0.2">
      <c r="A147">
        <v>5893</v>
      </c>
      <c r="B147" t="s">
        <v>255</v>
      </c>
      <c r="C147" t="s">
        <v>12</v>
      </c>
      <c r="D147" t="s">
        <v>12</v>
      </c>
      <c r="E147">
        <v>0</v>
      </c>
      <c r="F147" t="s">
        <v>32</v>
      </c>
      <c r="G147" s="34" t="s">
        <v>402</v>
      </c>
      <c r="H147" t="s">
        <v>14</v>
      </c>
      <c r="I147" t="s">
        <v>45</v>
      </c>
      <c r="J147" t="s">
        <v>23</v>
      </c>
      <c r="K147" t="s">
        <v>33</v>
      </c>
      <c r="L147" t="s">
        <v>336</v>
      </c>
    </row>
    <row r="148" spans="1:12" x14ac:dyDescent="0.2">
      <c r="A148">
        <v>5978</v>
      </c>
      <c r="B148" t="s">
        <v>255</v>
      </c>
      <c r="C148" t="s">
        <v>12</v>
      </c>
      <c r="D148" t="s">
        <v>12</v>
      </c>
      <c r="E148">
        <v>0</v>
      </c>
      <c r="F148" t="s">
        <v>382</v>
      </c>
      <c r="G148" s="34" t="s">
        <v>391</v>
      </c>
      <c r="H148" t="s">
        <v>56</v>
      </c>
      <c r="I148" t="s">
        <v>57</v>
      </c>
      <c r="J148" t="s">
        <v>30</v>
      </c>
      <c r="K148" t="s">
        <v>54</v>
      </c>
      <c r="L148" t="s">
        <v>304</v>
      </c>
    </row>
    <row r="149" spans="1:12" x14ac:dyDescent="0.2">
      <c r="A149">
        <v>6002</v>
      </c>
      <c r="B149" t="s">
        <v>255</v>
      </c>
      <c r="C149" t="s">
        <v>12</v>
      </c>
      <c r="D149" t="s">
        <v>12</v>
      </c>
      <c r="E149">
        <v>0</v>
      </c>
      <c r="F149" t="s">
        <v>13</v>
      </c>
      <c r="G149" s="34" t="s">
        <v>420</v>
      </c>
      <c r="H149" t="s">
        <v>56</v>
      </c>
      <c r="I149" t="s">
        <v>49</v>
      </c>
      <c r="J149" t="s">
        <v>16</v>
      </c>
      <c r="K149" t="s">
        <v>55</v>
      </c>
      <c r="L149" t="s">
        <v>154</v>
      </c>
    </row>
    <row r="150" spans="1:12" x14ac:dyDescent="0.2">
      <c r="A150">
        <v>6007</v>
      </c>
      <c r="B150" t="s">
        <v>255</v>
      </c>
      <c r="C150" t="s">
        <v>12</v>
      </c>
      <c r="D150" t="s">
        <v>12</v>
      </c>
      <c r="E150">
        <v>0</v>
      </c>
      <c r="F150" t="s">
        <v>13</v>
      </c>
      <c r="G150" s="34" t="s">
        <v>402</v>
      </c>
      <c r="H150" t="s">
        <v>28</v>
      </c>
      <c r="I150" t="s">
        <v>390</v>
      </c>
      <c r="J150" t="s">
        <v>30</v>
      </c>
      <c r="K150" t="s">
        <v>17</v>
      </c>
      <c r="L150" t="s">
        <v>268</v>
      </c>
    </row>
    <row r="151" spans="1:12" x14ac:dyDescent="0.2">
      <c r="A151">
        <v>6026</v>
      </c>
      <c r="B151" t="s">
        <v>255</v>
      </c>
      <c r="C151" t="s">
        <v>12</v>
      </c>
      <c r="D151" t="s">
        <v>12</v>
      </c>
      <c r="E151">
        <v>0</v>
      </c>
      <c r="F151" t="s">
        <v>13</v>
      </c>
      <c r="G151" s="34" t="s">
        <v>402</v>
      </c>
      <c r="H151" t="s">
        <v>14</v>
      </c>
      <c r="I151" t="s">
        <v>50</v>
      </c>
      <c r="J151" t="s">
        <v>51</v>
      </c>
      <c r="K151" t="s">
        <v>63</v>
      </c>
      <c r="L151" t="s">
        <v>350</v>
      </c>
    </row>
    <row r="152" spans="1:12" x14ac:dyDescent="0.2">
      <c r="A152">
        <v>6121</v>
      </c>
      <c r="B152" t="s">
        <v>255</v>
      </c>
      <c r="C152" t="s">
        <v>12</v>
      </c>
      <c r="D152" t="s">
        <v>20</v>
      </c>
      <c r="E152">
        <v>1</v>
      </c>
      <c r="F152" t="s">
        <v>381</v>
      </c>
      <c r="G152" s="34" t="s">
        <v>402</v>
      </c>
      <c r="H152" t="s">
        <v>21</v>
      </c>
      <c r="I152" t="s">
        <v>390</v>
      </c>
      <c r="J152" t="s">
        <v>23</v>
      </c>
      <c r="K152" t="s">
        <v>47</v>
      </c>
      <c r="L152" t="s">
        <v>314</v>
      </c>
    </row>
    <row r="153" spans="1:12" x14ac:dyDescent="0.2">
      <c r="A153">
        <v>6126</v>
      </c>
      <c r="B153" t="s">
        <v>255</v>
      </c>
      <c r="C153" t="s">
        <v>19</v>
      </c>
      <c r="D153" t="s">
        <v>20</v>
      </c>
      <c r="E153">
        <v>1</v>
      </c>
      <c r="F153" t="s">
        <v>381</v>
      </c>
      <c r="G153" s="34" t="s">
        <v>420</v>
      </c>
      <c r="H153" t="s">
        <v>21</v>
      </c>
      <c r="I153" t="s">
        <v>49</v>
      </c>
      <c r="J153" t="s">
        <v>16</v>
      </c>
      <c r="K153" t="s">
        <v>33</v>
      </c>
      <c r="L153" t="s">
        <v>163</v>
      </c>
    </row>
    <row r="154" spans="1:12" x14ac:dyDescent="0.2">
      <c r="A154">
        <v>6131</v>
      </c>
      <c r="B154" t="s">
        <v>255</v>
      </c>
      <c r="C154" t="s">
        <v>12</v>
      </c>
      <c r="D154" t="s">
        <v>20</v>
      </c>
      <c r="E154">
        <v>1</v>
      </c>
      <c r="F154" t="s">
        <v>381</v>
      </c>
      <c r="G154" s="34" t="s">
        <v>391</v>
      </c>
      <c r="H154" t="s">
        <v>21</v>
      </c>
      <c r="I154" t="s">
        <v>73</v>
      </c>
      <c r="J154" t="s">
        <v>25</v>
      </c>
      <c r="K154" t="s">
        <v>47</v>
      </c>
      <c r="L154" t="s">
        <v>289</v>
      </c>
    </row>
    <row r="155" spans="1:12" x14ac:dyDescent="0.2">
      <c r="A155">
        <v>6168</v>
      </c>
      <c r="B155" t="s">
        <v>255</v>
      </c>
      <c r="C155" t="s">
        <v>12</v>
      </c>
      <c r="D155" t="s">
        <v>20</v>
      </c>
      <c r="E155">
        <v>1</v>
      </c>
      <c r="F155" t="s">
        <v>381</v>
      </c>
      <c r="G155" s="34" t="s">
        <v>396</v>
      </c>
      <c r="H155" t="s">
        <v>21</v>
      </c>
      <c r="I155" t="s">
        <v>390</v>
      </c>
      <c r="J155" t="s">
        <v>23</v>
      </c>
      <c r="K155" t="s">
        <v>148</v>
      </c>
      <c r="L155" t="s">
        <v>186</v>
      </c>
    </row>
    <row r="156" spans="1:12" x14ac:dyDescent="0.2">
      <c r="A156">
        <v>6279</v>
      </c>
      <c r="B156" t="s">
        <v>255</v>
      </c>
      <c r="C156" t="s">
        <v>12</v>
      </c>
      <c r="D156" t="s">
        <v>12</v>
      </c>
      <c r="E156">
        <v>0</v>
      </c>
      <c r="F156" t="s">
        <v>13</v>
      </c>
      <c r="G156" s="34" t="s">
        <v>402</v>
      </c>
      <c r="H156" t="s">
        <v>56</v>
      </c>
      <c r="I156" t="s">
        <v>390</v>
      </c>
      <c r="J156" t="s">
        <v>23</v>
      </c>
      <c r="K156" t="s">
        <v>33</v>
      </c>
      <c r="L156" t="s">
        <v>311</v>
      </c>
    </row>
    <row r="157" spans="1:12" x14ac:dyDescent="0.2">
      <c r="A157">
        <v>6291</v>
      </c>
      <c r="B157" t="s">
        <v>255</v>
      </c>
      <c r="C157" t="s">
        <v>12</v>
      </c>
      <c r="D157" t="s">
        <v>12</v>
      </c>
      <c r="E157">
        <v>0</v>
      </c>
      <c r="F157" t="s">
        <v>32</v>
      </c>
      <c r="G157" s="34" t="s">
        <v>396</v>
      </c>
      <c r="H157" t="s">
        <v>14</v>
      </c>
      <c r="I157" t="s">
        <v>390</v>
      </c>
      <c r="J157" t="s">
        <v>36</v>
      </c>
      <c r="K157" t="s">
        <v>148</v>
      </c>
      <c r="L157" t="s">
        <v>152</v>
      </c>
    </row>
    <row r="158" spans="1:12" x14ac:dyDescent="0.2">
      <c r="A158">
        <v>6297</v>
      </c>
      <c r="B158" t="s">
        <v>255</v>
      </c>
      <c r="C158" t="s">
        <v>19</v>
      </c>
      <c r="D158" t="s">
        <v>19</v>
      </c>
      <c r="E158">
        <v>0</v>
      </c>
      <c r="F158" t="s">
        <v>13</v>
      </c>
      <c r="G158" s="34" t="s">
        <v>459</v>
      </c>
      <c r="H158" t="s">
        <v>21</v>
      </c>
      <c r="I158" t="s">
        <v>89</v>
      </c>
      <c r="J158" t="s">
        <v>23</v>
      </c>
      <c r="K158" t="s">
        <v>17</v>
      </c>
      <c r="L158" t="s">
        <v>282</v>
      </c>
    </row>
    <row r="159" spans="1:12" x14ac:dyDescent="0.2">
      <c r="A159">
        <v>6315</v>
      </c>
      <c r="B159" t="s">
        <v>255</v>
      </c>
      <c r="C159" t="s">
        <v>19</v>
      </c>
      <c r="D159" t="s">
        <v>19</v>
      </c>
      <c r="E159">
        <v>0</v>
      </c>
      <c r="F159" t="s">
        <v>382</v>
      </c>
      <c r="G159" s="34" t="s">
        <v>396</v>
      </c>
      <c r="H159" t="s">
        <v>21</v>
      </c>
      <c r="I159" t="s">
        <v>390</v>
      </c>
      <c r="J159" t="s">
        <v>23</v>
      </c>
      <c r="K159" t="s">
        <v>148</v>
      </c>
      <c r="L159" t="s">
        <v>344</v>
      </c>
    </row>
    <row r="160" spans="1:12" x14ac:dyDescent="0.2">
      <c r="A160">
        <v>6382</v>
      </c>
      <c r="B160" t="s">
        <v>255</v>
      </c>
      <c r="C160" t="s">
        <v>12</v>
      </c>
      <c r="D160" t="s">
        <v>12</v>
      </c>
      <c r="E160">
        <v>0</v>
      </c>
      <c r="F160" t="s">
        <v>13</v>
      </c>
      <c r="G160" s="34" t="s">
        <v>428</v>
      </c>
      <c r="H160" t="s">
        <v>56</v>
      </c>
      <c r="I160" t="s">
        <v>390</v>
      </c>
      <c r="J160" t="s">
        <v>36</v>
      </c>
      <c r="K160" t="s">
        <v>33</v>
      </c>
      <c r="L160" t="s">
        <v>155</v>
      </c>
    </row>
    <row r="161" spans="1:12" x14ac:dyDescent="0.2">
      <c r="A161">
        <v>6408</v>
      </c>
      <c r="B161" t="s">
        <v>255</v>
      </c>
      <c r="C161" t="s">
        <v>12</v>
      </c>
      <c r="D161" t="s">
        <v>12</v>
      </c>
      <c r="E161">
        <v>0</v>
      </c>
      <c r="F161" t="s">
        <v>13</v>
      </c>
      <c r="G161" s="34" t="s">
        <v>402</v>
      </c>
      <c r="H161" t="s">
        <v>44</v>
      </c>
      <c r="I161" t="s">
        <v>45</v>
      </c>
      <c r="J161" t="s">
        <v>23</v>
      </c>
      <c r="K161" t="s">
        <v>83</v>
      </c>
      <c r="L161" t="s">
        <v>321</v>
      </c>
    </row>
    <row r="162" spans="1:12" x14ac:dyDescent="0.2">
      <c r="A162">
        <v>6413</v>
      </c>
      <c r="B162" t="s">
        <v>255</v>
      </c>
      <c r="C162" t="s">
        <v>12</v>
      </c>
      <c r="D162" t="s">
        <v>12</v>
      </c>
      <c r="E162">
        <v>0</v>
      </c>
      <c r="F162" t="s">
        <v>13</v>
      </c>
      <c r="G162" s="34" t="s">
        <v>402</v>
      </c>
      <c r="H162" t="s">
        <v>44</v>
      </c>
      <c r="I162" t="s">
        <v>113</v>
      </c>
      <c r="J162" t="s">
        <v>42</v>
      </c>
      <c r="K162" t="s">
        <v>83</v>
      </c>
      <c r="L162" t="s">
        <v>337</v>
      </c>
    </row>
    <row r="163" spans="1:12" x14ac:dyDescent="0.2">
      <c r="A163">
        <v>6468</v>
      </c>
      <c r="B163" t="s">
        <v>255</v>
      </c>
      <c r="C163" t="s">
        <v>19</v>
      </c>
      <c r="D163" t="s">
        <v>20</v>
      </c>
      <c r="E163">
        <v>1</v>
      </c>
      <c r="F163" t="s">
        <v>381</v>
      </c>
      <c r="G163" s="34" t="s">
        <v>402</v>
      </c>
      <c r="H163" t="s">
        <v>21</v>
      </c>
      <c r="I163" t="s">
        <v>41</v>
      </c>
      <c r="J163" t="s">
        <v>42</v>
      </c>
      <c r="K163" t="s">
        <v>39</v>
      </c>
      <c r="L163" t="s">
        <v>40</v>
      </c>
    </row>
    <row r="164" spans="1:12" x14ac:dyDescent="0.2">
      <c r="A164">
        <v>6522</v>
      </c>
      <c r="B164" t="s">
        <v>255</v>
      </c>
      <c r="C164" t="s">
        <v>12</v>
      </c>
      <c r="D164" t="s">
        <v>12</v>
      </c>
      <c r="E164">
        <v>0</v>
      </c>
      <c r="F164" t="s">
        <v>382</v>
      </c>
      <c r="G164" s="34" t="s">
        <v>396</v>
      </c>
      <c r="H164" t="s">
        <v>14</v>
      </c>
      <c r="I164" t="s">
        <v>390</v>
      </c>
      <c r="J164" t="s">
        <v>36</v>
      </c>
      <c r="K164" t="s">
        <v>148</v>
      </c>
      <c r="L164" t="s">
        <v>344</v>
      </c>
    </row>
    <row r="165" spans="1:12" x14ac:dyDescent="0.2">
      <c r="A165">
        <v>6550</v>
      </c>
      <c r="B165" t="s">
        <v>255</v>
      </c>
      <c r="C165" t="s">
        <v>12</v>
      </c>
      <c r="D165" t="s">
        <v>12</v>
      </c>
      <c r="E165">
        <v>0</v>
      </c>
      <c r="F165" t="s">
        <v>13</v>
      </c>
      <c r="G165" s="34" t="s">
        <v>396</v>
      </c>
      <c r="H165" t="s">
        <v>21</v>
      </c>
      <c r="I165" t="s">
        <v>61</v>
      </c>
      <c r="J165" t="s">
        <v>30</v>
      </c>
      <c r="K165" t="s">
        <v>33</v>
      </c>
      <c r="L165" t="s">
        <v>155</v>
      </c>
    </row>
    <row r="166" spans="1:12" x14ac:dyDescent="0.2">
      <c r="A166">
        <v>6552</v>
      </c>
      <c r="B166" t="s">
        <v>255</v>
      </c>
      <c r="C166" t="s">
        <v>19</v>
      </c>
      <c r="D166" t="s">
        <v>19</v>
      </c>
      <c r="E166">
        <v>0</v>
      </c>
      <c r="F166" t="s">
        <v>13</v>
      </c>
      <c r="G166" s="34" t="s">
        <v>420</v>
      </c>
      <c r="H166" t="s">
        <v>21</v>
      </c>
      <c r="I166" t="s">
        <v>390</v>
      </c>
      <c r="J166" t="s">
        <v>30</v>
      </c>
      <c r="K166" t="s">
        <v>33</v>
      </c>
      <c r="L166" t="s">
        <v>303</v>
      </c>
    </row>
    <row r="167" spans="1:12" x14ac:dyDescent="0.2">
      <c r="A167">
        <v>6563</v>
      </c>
      <c r="B167" t="s">
        <v>255</v>
      </c>
      <c r="C167" t="s">
        <v>12</v>
      </c>
      <c r="D167" t="s">
        <v>12</v>
      </c>
      <c r="E167">
        <v>0</v>
      </c>
      <c r="F167" t="s">
        <v>32</v>
      </c>
      <c r="G167" s="34" t="s">
        <v>402</v>
      </c>
      <c r="H167" t="s">
        <v>14</v>
      </c>
      <c r="I167" t="s">
        <v>390</v>
      </c>
      <c r="J167" t="s">
        <v>36</v>
      </c>
      <c r="K167" t="s">
        <v>148</v>
      </c>
      <c r="L167" t="s">
        <v>275</v>
      </c>
    </row>
    <row r="168" spans="1:12" x14ac:dyDescent="0.2">
      <c r="A168">
        <v>6588</v>
      </c>
      <c r="B168" t="s">
        <v>255</v>
      </c>
      <c r="C168" t="s">
        <v>12</v>
      </c>
      <c r="D168" t="s">
        <v>12</v>
      </c>
      <c r="E168">
        <v>0</v>
      </c>
      <c r="F168" t="s">
        <v>13</v>
      </c>
      <c r="G168" s="34" t="s">
        <v>419</v>
      </c>
      <c r="H168" t="s">
        <v>56</v>
      </c>
      <c r="I168" t="s">
        <v>390</v>
      </c>
      <c r="J168" t="s">
        <v>23</v>
      </c>
      <c r="K168" t="s">
        <v>33</v>
      </c>
      <c r="L168" t="s">
        <v>249</v>
      </c>
    </row>
    <row r="169" spans="1:12" x14ac:dyDescent="0.2">
      <c r="A169">
        <v>6601</v>
      </c>
      <c r="B169" t="s">
        <v>255</v>
      </c>
      <c r="C169" t="s">
        <v>12</v>
      </c>
      <c r="D169" t="s">
        <v>12</v>
      </c>
      <c r="E169">
        <v>0</v>
      </c>
      <c r="F169" t="s">
        <v>32</v>
      </c>
      <c r="G169" s="34" t="s">
        <v>420</v>
      </c>
      <c r="H169" t="s">
        <v>14</v>
      </c>
      <c r="I169" t="s">
        <v>390</v>
      </c>
      <c r="J169" t="s">
        <v>30</v>
      </c>
      <c r="K169" t="s">
        <v>148</v>
      </c>
      <c r="L169" t="s">
        <v>173</v>
      </c>
    </row>
    <row r="170" spans="1:12" x14ac:dyDescent="0.2">
      <c r="A170">
        <v>6613</v>
      </c>
      <c r="B170" t="s">
        <v>255</v>
      </c>
      <c r="C170" t="s">
        <v>12</v>
      </c>
      <c r="D170" t="s">
        <v>12</v>
      </c>
      <c r="E170">
        <v>0</v>
      </c>
      <c r="F170" t="s">
        <v>382</v>
      </c>
      <c r="G170" s="34" t="s">
        <v>428</v>
      </c>
      <c r="H170" t="s">
        <v>56</v>
      </c>
      <c r="I170" t="s">
        <v>390</v>
      </c>
      <c r="J170" t="s">
        <v>36</v>
      </c>
      <c r="K170" t="s">
        <v>33</v>
      </c>
      <c r="L170" t="s">
        <v>263</v>
      </c>
    </row>
    <row r="171" spans="1:12" x14ac:dyDescent="0.2">
      <c r="A171">
        <v>6619</v>
      </c>
      <c r="B171" t="s">
        <v>255</v>
      </c>
      <c r="C171" t="s">
        <v>12</v>
      </c>
      <c r="D171" t="s">
        <v>12</v>
      </c>
      <c r="E171">
        <v>0</v>
      </c>
      <c r="F171" t="s">
        <v>32</v>
      </c>
      <c r="G171" s="34" t="s">
        <v>402</v>
      </c>
      <c r="H171" t="s">
        <v>21</v>
      </c>
      <c r="I171" t="s">
        <v>390</v>
      </c>
      <c r="J171" t="s">
        <v>36</v>
      </c>
      <c r="K171" t="s">
        <v>148</v>
      </c>
      <c r="L171" t="s">
        <v>296</v>
      </c>
    </row>
    <row r="172" spans="1:12" x14ac:dyDescent="0.2">
      <c r="A172">
        <v>6629</v>
      </c>
      <c r="B172" t="s">
        <v>255</v>
      </c>
      <c r="C172" t="s">
        <v>12</v>
      </c>
      <c r="D172" t="s">
        <v>12</v>
      </c>
      <c r="E172">
        <v>0</v>
      </c>
      <c r="F172" t="s">
        <v>32</v>
      </c>
      <c r="G172" s="34" t="s">
        <v>420</v>
      </c>
      <c r="H172" t="s">
        <v>14</v>
      </c>
      <c r="I172" t="s">
        <v>390</v>
      </c>
      <c r="J172" t="s">
        <v>30</v>
      </c>
      <c r="K172" t="s">
        <v>47</v>
      </c>
      <c r="L172" t="s">
        <v>210</v>
      </c>
    </row>
    <row r="173" spans="1:12" x14ac:dyDescent="0.2">
      <c r="A173">
        <v>6737</v>
      </c>
      <c r="B173" t="s">
        <v>255</v>
      </c>
      <c r="C173" t="s">
        <v>12</v>
      </c>
      <c r="D173" t="s">
        <v>12</v>
      </c>
      <c r="E173">
        <v>0</v>
      </c>
      <c r="F173" t="s">
        <v>13</v>
      </c>
      <c r="G173" s="34" t="s">
        <v>402</v>
      </c>
      <c r="H173" t="s">
        <v>28</v>
      </c>
      <c r="I173" t="s">
        <v>61</v>
      </c>
      <c r="J173" t="s">
        <v>30</v>
      </c>
      <c r="K173" t="s">
        <v>26</v>
      </c>
      <c r="L173" t="s">
        <v>31</v>
      </c>
    </row>
    <row r="174" spans="1:12" x14ac:dyDescent="0.2">
      <c r="A174">
        <v>6929</v>
      </c>
      <c r="B174" t="s">
        <v>255</v>
      </c>
      <c r="C174" t="s">
        <v>19</v>
      </c>
      <c r="D174" t="s">
        <v>19</v>
      </c>
      <c r="E174">
        <v>0</v>
      </c>
      <c r="F174" t="s">
        <v>382</v>
      </c>
      <c r="G174" s="34" t="s">
        <v>391</v>
      </c>
      <c r="H174" t="s">
        <v>21</v>
      </c>
      <c r="I174" t="s">
        <v>84</v>
      </c>
      <c r="J174" t="s">
        <v>30</v>
      </c>
      <c r="K174" t="s">
        <v>17</v>
      </c>
      <c r="L174" t="s">
        <v>72</v>
      </c>
    </row>
    <row r="175" spans="1:12" x14ac:dyDescent="0.2">
      <c r="A175">
        <v>6955</v>
      </c>
      <c r="B175" t="s">
        <v>255</v>
      </c>
      <c r="C175" t="s">
        <v>12</v>
      </c>
      <c r="D175" t="s">
        <v>12</v>
      </c>
      <c r="E175">
        <v>0</v>
      </c>
      <c r="F175" t="s">
        <v>13</v>
      </c>
      <c r="G175" s="34" t="s">
        <v>402</v>
      </c>
      <c r="H175" t="s">
        <v>14</v>
      </c>
      <c r="I175" t="s">
        <v>61</v>
      </c>
      <c r="J175" t="s">
        <v>30</v>
      </c>
      <c r="K175" t="s">
        <v>17</v>
      </c>
      <c r="L175" t="s">
        <v>377</v>
      </c>
    </row>
    <row r="176" spans="1:12" x14ac:dyDescent="0.2">
      <c r="A176">
        <v>6971</v>
      </c>
      <c r="B176" t="s">
        <v>255</v>
      </c>
      <c r="C176" t="s">
        <v>12</v>
      </c>
      <c r="D176" t="s">
        <v>12</v>
      </c>
      <c r="E176">
        <v>0</v>
      </c>
      <c r="F176" t="s">
        <v>13</v>
      </c>
      <c r="G176" s="34" t="s">
        <v>402</v>
      </c>
      <c r="H176" t="s">
        <v>44</v>
      </c>
      <c r="I176" t="s">
        <v>85</v>
      </c>
      <c r="J176" t="s">
        <v>16</v>
      </c>
      <c r="K176" t="s">
        <v>26</v>
      </c>
      <c r="L176" t="s">
        <v>368</v>
      </c>
    </row>
    <row r="177" spans="1:12" x14ac:dyDescent="0.2">
      <c r="A177">
        <v>6988</v>
      </c>
      <c r="B177" t="s">
        <v>255</v>
      </c>
      <c r="C177" t="s">
        <v>12</v>
      </c>
      <c r="D177" t="s">
        <v>12</v>
      </c>
      <c r="E177">
        <v>0</v>
      </c>
      <c r="F177" t="s">
        <v>13</v>
      </c>
      <c r="G177" s="34" t="s">
        <v>402</v>
      </c>
      <c r="H177" t="s">
        <v>14</v>
      </c>
      <c r="I177" t="s">
        <v>130</v>
      </c>
      <c r="J177" t="s">
        <v>23</v>
      </c>
      <c r="K177" t="s">
        <v>47</v>
      </c>
      <c r="L177" t="s">
        <v>360</v>
      </c>
    </row>
    <row r="178" spans="1:12" x14ac:dyDescent="0.2">
      <c r="A178">
        <v>7256</v>
      </c>
      <c r="B178" t="s">
        <v>255</v>
      </c>
      <c r="C178" t="s">
        <v>19</v>
      </c>
      <c r="D178" t="s">
        <v>20</v>
      </c>
      <c r="E178">
        <v>1</v>
      </c>
      <c r="F178" t="s">
        <v>381</v>
      </c>
      <c r="G178" s="34" t="s">
        <v>391</v>
      </c>
      <c r="H178" t="s">
        <v>21</v>
      </c>
      <c r="I178" t="s">
        <v>68</v>
      </c>
      <c r="J178" t="s">
        <v>42</v>
      </c>
      <c r="K178" t="s">
        <v>37</v>
      </c>
      <c r="L178" t="s">
        <v>53</v>
      </c>
    </row>
    <row r="179" spans="1:12" x14ac:dyDescent="0.2">
      <c r="A179">
        <v>7264</v>
      </c>
      <c r="B179" t="s">
        <v>255</v>
      </c>
      <c r="C179" t="s">
        <v>12</v>
      </c>
      <c r="D179" t="s">
        <v>12</v>
      </c>
      <c r="E179">
        <v>0</v>
      </c>
      <c r="F179" t="s">
        <v>382</v>
      </c>
      <c r="G179" s="34" t="s">
        <v>402</v>
      </c>
      <c r="H179" t="s">
        <v>28</v>
      </c>
      <c r="I179" t="s">
        <v>45</v>
      </c>
      <c r="J179" t="s">
        <v>42</v>
      </c>
      <c r="K179" t="s">
        <v>39</v>
      </c>
      <c r="L179" t="s">
        <v>262</v>
      </c>
    </row>
    <row r="180" spans="1:12" x14ac:dyDescent="0.2">
      <c r="A180">
        <v>7289</v>
      </c>
      <c r="B180" t="s">
        <v>255</v>
      </c>
      <c r="C180" t="s">
        <v>19</v>
      </c>
      <c r="D180" t="s">
        <v>20</v>
      </c>
      <c r="E180">
        <v>1</v>
      </c>
      <c r="F180" t="s">
        <v>381</v>
      </c>
      <c r="G180" s="34" t="s">
        <v>391</v>
      </c>
      <c r="H180" t="s">
        <v>21</v>
      </c>
      <c r="I180" t="s">
        <v>68</v>
      </c>
      <c r="J180" t="s">
        <v>42</v>
      </c>
      <c r="K180" t="s">
        <v>37</v>
      </c>
      <c r="L180" t="s">
        <v>96</v>
      </c>
    </row>
    <row r="181" spans="1:12" x14ac:dyDescent="0.2">
      <c r="A181">
        <v>7316</v>
      </c>
      <c r="B181" t="s">
        <v>255</v>
      </c>
      <c r="C181" t="s">
        <v>12</v>
      </c>
      <c r="D181" t="s">
        <v>12</v>
      </c>
      <c r="E181">
        <v>0</v>
      </c>
      <c r="F181" t="s">
        <v>13</v>
      </c>
      <c r="G181" s="34" t="s">
        <v>402</v>
      </c>
      <c r="H181" t="s">
        <v>28</v>
      </c>
      <c r="I181" t="s">
        <v>61</v>
      </c>
      <c r="J181" t="s">
        <v>30</v>
      </c>
      <c r="K181" t="s">
        <v>17</v>
      </c>
      <c r="L181" t="s">
        <v>17</v>
      </c>
    </row>
    <row r="182" spans="1:12" x14ac:dyDescent="0.2">
      <c r="A182">
        <v>7345</v>
      </c>
      <c r="B182" t="s">
        <v>255</v>
      </c>
      <c r="C182" t="s">
        <v>12</v>
      </c>
      <c r="D182" t="s">
        <v>12</v>
      </c>
      <c r="E182">
        <v>0</v>
      </c>
      <c r="F182" t="s">
        <v>13</v>
      </c>
      <c r="G182" s="34" t="s">
        <v>402</v>
      </c>
      <c r="H182" t="s">
        <v>14</v>
      </c>
      <c r="I182" t="s">
        <v>61</v>
      </c>
      <c r="J182" t="s">
        <v>30</v>
      </c>
      <c r="K182" t="s">
        <v>17</v>
      </c>
      <c r="L182" t="s">
        <v>209</v>
      </c>
    </row>
    <row r="183" spans="1:12" x14ac:dyDescent="0.2">
      <c r="A183">
        <v>7536</v>
      </c>
      <c r="B183" t="s">
        <v>255</v>
      </c>
      <c r="C183" t="s">
        <v>12</v>
      </c>
      <c r="D183" t="s">
        <v>12</v>
      </c>
      <c r="E183">
        <v>0</v>
      </c>
      <c r="F183" t="s">
        <v>32</v>
      </c>
      <c r="G183" s="34" t="s">
        <v>391</v>
      </c>
      <c r="H183" t="s">
        <v>92</v>
      </c>
      <c r="I183" t="s">
        <v>49</v>
      </c>
      <c r="J183" t="s">
        <v>16</v>
      </c>
      <c r="K183" t="s">
        <v>37</v>
      </c>
      <c r="L183" t="s">
        <v>308</v>
      </c>
    </row>
    <row r="184" spans="1:12" x14ac:dyDescent="0.2">
      <c r="A184">
        <v>7788</v>
      </c>
      <c r="B184" t="s">
        <v>255</v>
      </c>
      <c r="C184" t="s">
        <v>12</v>
      </c>
      <c r="D184" t="s">
        <v>12</v>
      </c>
      <c r="E184">
        <v>0</v>
      </c>
      <c r="F184" t="s">
        <v>382</v>
      </c>
      <c r="G184" s="34" t="s">
        <v>396</v>
      </c>
      <c r="H184" t="s">
        <v>56</v>
      </c>
      <c r="I184" t="s">
        <v>85</v>
      </c>
      <c r="J184" t="s">
        <v>16</v>
      </c>
      <c r="K184" t="s">
        <v>55</v>
      </c>
      <c r="L184" t="s">
        <v>351</v>
      </c>
    </row>
    <row r="185" spans="1:12" x14ac:dyDescent="0.2">
      <c r="A185">
        <v>7805</v>
      </c>
      <c r="B185" t="s">
        <v>255</v>
      </c>
      <c r="C185" t="s">
        <v>12</v>
      </c>
      <c r="D185" t="s">
        <v>12</v>
      </c>
      <c r="E185">
        <v>0</v>
      </c>
      <c r="F185" t="s">
        <v>13</v>
      </c>
      <c r="G185" s="34" t="s">
        <v>391</v>
      </c>
      <c r="H185" t="s">
        <v>21</v>
      </c>
      <c r="I185" t="s">
        <v>71</v>
      </c>
      <c r="J185" t="s">
        <v>16</v>
      </c>
      <c r="K185" t="s">
        <v>17</v>
      </c>
      <c r="L185" t="s">
        <v>72</v>
      </c>
    </row>
    <row r="186" spans="1:12" x14ac:dyDescent="0.2">
      <c r="A186">
        <v>7837</v>
      </c>
      <c r="B186" t="s">
        <v>255</v>
      </c>
      <c r="C186" t="s">
        <v>12</v>
      </c>
      <c r="D186" t="s">
        <v>12</v>
      </c>
      <c r="E186">
        <v>0</v>
      </c>
      <c r="F186" t="s">
        <v>13</v>
      </c>
      <c r="G186" s="34" t="s">
        <v>402</v>
      </c>
      <c r="H186" t="s">
        <v>28</v>
      </c>
      <c r="I186" t="s">
        <v>61</v>
      </c>
      <c r="J186" t="s">
        <v>30</v>
      </c>
      <c r="K186" t="s">
        <v>17</v>
      </c>
      <c r="L186" t="s">
        <v>345</v>
      </c>
    </row>
    <row r="187" spans="1:12" x14ac:dyDescent="0.2">
      <c r="A187">
        <v>7995</v>
      </c>
      <c r="B187" t="s">
        <v>255</v>
      </c>
      <c r="C187" t="s">
        <v>19</v>
      </c>
      <c r="D187" t="s">
        <v>19</v>
      </c>
      <c r="E187">
        <v>0</v>
      </c>
      <c r="F187" t="s">
        <v>382</v>
      </c>
      <c r="G187" s="34" t="s">
        <v>391</v>
      </c>
      <c r="H187" t="s">
        <v>21</v>
      </c>
      <c r="I187" t="s">
        <v>49</v>
      </c>
      <c r="J187" t="s">
        <v>16</v>
      </c>
      <c r="K187" t="s">
        <v>63</v>
      </c>
      <c r="L187" t="s">
        <v>111</v>
      </c>
    </row>
    <row r="188" spans="1:12" x14ac:dyDescent="0.2">
      <c r="A188">
        <v>8159</v>
      </c>
      <c r="B188" t="s">
        <v>255</v>
      </c>
      <c r="C188" t="s">
        <v>12</v>
      </c>
      <c r="D188" t="s">
        <v>12</v>
      </c>
      <c r="E188">
        <v>0</v>
      </c>
      <c r="F188" t="s">
        <v>13</v>
      </c>
      <c r="G188" s="34" t="s">
        <v>402</v>
      </c>
      <c r="H188" t="s">
        <v>28</v>
      </c>
      <c r="I188" t="s">
        <v>61</v>
      </c>
      <c r="J188" t="s">
        <v>30</v>
      </c>
      <c r="K188" t="s">
        <v>63</v>
      </c>
      <c r="L188" t="s">
        <v>364</v>
      </c>
    </row>
    <row r="189" spans="1:12" x14ac:dyDescent="0.2">
      <c r="A189">
        <v>8232</v>
      </c>
      <c r="B189" t="s">
        <v>255</v>
      </c>
      <c r="C189" t="s">
        <v>12</v>
      </c>
      <c r="D189" t="s">
        <v>12</v>
      </c>
      <c r="E189">
        <v>0</v>
      </c>
      <c r="F189" t="s">
        <v>13</v>
      </c>
      <c r="G189" s="34" t="s">
        <v>404</v>
      </c>
      <c r="H189" t="s">
        <v>44</v>
      </c>
      <c r="I189" t="s">
        <v>50</v>
      </c>
      <c r="J189" t="s">
        <v>51</v>
      </c>
      <c r="K189" t="s">
        <v>83</v>
      </c>
      <c r="L189" t="s">
        <v>321</v>
      </c>
    </row>
    <row r="190" spans="1:12" x14ac:dyDescent="0.2">
      <c r="A190">
        <v>8263</v>
      </c>
      <c r="B190" t="s">
        <v>255</v>
      </c>
      <c r="C190" t="s">
        <v>19</v>
      </c>
      <c r="D190" t="s">
        <v>19</v>
      </c>
      <c r="E190">
        <v>0</v>
      </c>
      <c r="F190" t="s">
        <v>382</v>
      </c>
      <c r="G190" s="34" t="s">
        <v>391</v>
      </c>
      <c r="H190" t="s">
        <v>21</v>
      </c>
      <c r="I190" t="s">
        <v>94</v>
      </c>
      <c r="J190" t="s">
        <v>30</v>
      </c>
      <c r="K190" t="s">
        <v>37</v>
      </c>
      <c r="L190" t="s">
        <v>53</v>
      </c>
    </row>
    <row r="191" spans="1:12" x14ac:dyDescent="0.2">
      <c r="A191">
        <v>8366</v>
      </c>
      <c r="B191" t="s">
        <v>255</v>
      </c>
      <c r="C191" t="s">
        <v>12</v>
      </c>
      <c r="D191" t="s">
        <v>12</v>
      </c>
      <c r="E191">
        <v>0</v>
      </c>
      <c r="F191" t="s">
        <v>13</v>
      </c>
      <c r="G191" s="34" t="s">
        <v>419</v>
      </c>
      <c r="H191" t="s">
        <v>56</v>
      </c>
      <c r="I191" t="s">
        <v>81</v>
      </c>
      <c r="J191" t="s">
        <v>42</v>
      </c>
      <c r="K191" t="s">
        <v>33</v>
      </c>
      <c r="L191" t="s">
        <v>263</v>
      </c>
    </row>
    <row r="192" spans="1:12" x14ac:dyDescent="0.2">
      <c r="A192">
        <v>8397</v>
      </c>
      <c r="B192" t="s">
        <v>255</v>
      </c>
      <c r="C192" t="s">
        <v>12</v>
      </c>
      <c r="D192" t="s">
        <v>12</v>
      </c>
      <c r="E192">
        <v>0</v>
      </c>
      <c r="F192" t="s">
        <v>13</v>
      </c>
      <c r="G192" s="34" t="s">
        <v>391</v>
      </c>
      <c r="H192" t="s">
        <v>21</v>
      </c>
      <c r="I192" t="s">
        <v>57</v>
      </c>
      <c r="J192" t="s">
        <v>30</v>
      </c>
      <c r="K192" t="s">
        <v>33</v>
      </c>
      <c r="L192" t="s">
        <v>355</v>
      </c>
    </row>
    <row r="193" spans="1:12" x14ac:dyDescent="0.2">
      <c r="A193">
        <v>8401</v>
      </c>
      <c r="B193" t="s">
        <v>255</v>
      </c>
      <c r="C193" t="s">
        <v>12</v>
      </c>
      <c r="D193" t="s">
        <v>12</v>
      </c>
      <c r="E193">
        <v>0</v>
      </c>
      <c r="F193" t="s">
        <v>32</v>
      </c>
      <c r="G193" s="34" t="s">
        <v>391</v>
      </c>
      <c r="H193" t="s">
        <v>28</v>
      </c>
      <c r="I193" t="s">
        <v>57</v>
      </c>
      <c r="J193" t="s">
        <v>30</v>
      </c>
      <c r="K193" t="s">
        <v>37</v>
      </c>
      <c r="L193" t="s">
        <v>269</v>
      </c>
    </row>
    <row r="194" spans="1:12" x14ac:dyDescent="0.2">
      <c r="A194">
        <v>8410</v>
      </c>
      <c r="B194" t="s">
        <v>255</v>
      </c>
      <c r="C194" t="s">
        <v>12</v>
      </c>
      <c r="D194" t="s">
        <v>12</v>
      </c>
      <c r="E194">
        <v>0</v>
      </c>
      <c r="F194" t="s">
        <v>13</v>
      </c>
      <c r="G194" s="34" t="s">
        <v>391</v>
      </c>
      <c r="H194" t="s">
        <v>14</v>
      </c>
      <c r="I194" t="s">
        <v>57</v>
      </c>
      <c r="J194" t="s">
        <v>30</v>
      </c>
      <c r="K194" t="s">
        <v>33</v>
      </c>
      <c r="L194" t="s">
        <v>328</v>
      </c>
    </row>
    <row r="195" spans="1:12" x14ac:dyDescent="0.2">
      <c r="A195">
        <v>8425</v>
      </c>
      <c r="B195" t="s">
        <v>255</v>
      </c>
      <c r="C195" t="s">
        <v>12</v>
      </c>
      <c r="D195" t="s">
        <v>12</v>
      </c>
      <c r="E195">
        <v>0</v>
      </c>
      <c r="F195" t="s">
        <v>32</v>
      </c>
      <c r="G195" s="34" t="s">
        <v>391</v>
      </c>
      <c r="H195" t="s">
        <v>28</v>
      </c>
      <c r="I195" t="s">
        <v>57</v>
      </c>
      <c r="J195" t="s">
        <v>30</v>
      </c>
      <c r="K195" t="s">
        <v>33</v>
      </c>
      <c r="L195" t="s">
        <v>331</v>
      </c>
    </row>
    <row r="196" spans="1:12" x14ac:dyDescent="0.2">
      <c r="A196">
        <v>8509</v>
      </c>
      <c r="B196" t="s">
        <v>255</v>
      </c>
      <c r="C196" t="s">
        <v>12</v>
      </c>
      <c r="D196" t="s">
        <v>12</v>
      </c>
      <c r="E196">
        <v>0</v>
      </c>
      <c r="F196" t="s">
        <v>13</v>
      </c>
      <c r="G196" s="34" t="s">
        <v>391</v>
      </c>
      <c r="H196" t="s">
        <v>21</v>
      </c>
      <c r="I196" t="s">
        <v>57</v>
      </c>
      <c r="J196" t="s">
        <v>30</v>
      </c>
      <c r="K196" t="s">
        <v>33</v>
      </c>
      <c r="L196" t="s">
        <v>338</v>
      </c>
    </row>
    <row r="197" spans="1:12" x14ac:dyDescent="0.2">
      <c r="A197">
        <v>8589</v>
      </c>
      <c r="B197" t="s">
        <v>255</v>
      </c>
      <c r="C197" t="s">
        <v>19</v>
      </c>
      <c r="D197" t="s">
        <v>20</v>
      </c>
      <c r="E197">
        <v>1</v>
      </c>
      <c r="F197" t="s">
        <v>381</v>
      </c>
      <c r="G197" s="34" t="s">
        <v>391</v>
      </c>
      <c r="H197" t="s">
        <v>21</v>
      </c>
      <c r="I197" t="s">
        <v>49</v>
      </c>
      <c r="J197" t="s">
        <v>16</v>
      </c>
      <c r="K197" t="s">
        <v>17</v>
      </c>
      <c r="L197" t="s">
        <v>88</v>
      </c>
    </row>
    <row r="198" spans="1:12" x14ac:dyDescent="0.2">
      <c r="A198">
        <v>8600</v>
      </c>
      <c r="B198" t="s">
        <v>255</v>
      </c>
      <c r="C198" t="s">
        <v>12</v>
      </c>
      <c r="D198" t="s">
        <v>12</v>
      </c>
      <c r="E198">
        <v>0</v>
      </c>
      <c r="F198" t="s">
        <v>382</v>
      </c>
      <c r="G198" s="34" t="s">
        <v>396</v>
      </c>
      <c r="H198" t="s">
        <v>56</v>
      </c>
      <c r="I198" t="s">
        <v>85</v>
      </c>
      <c r="J198" t="s">
        <v>16</v>
      </c>
      <c r="K198" t="s">
        <v>17</v>
      </c>
      <c r="L198" t="s">
        <v>319</v>
      </c>
    </row>
    <row r="199" spans="1:12" x14ac:dyDescent="0.2">
      <c r="A199">
        <v>8655</v>
      </c>
      <c r="B199" t="s">
        <v>255</v>
      </c>
      <c r="C199" t="s">
        <v>19</v>
      </c>
      <c r="D199" t="s">
        <v>19</v>
      </c>
      <c r="E199">
        <v>0</v>
      </c>
      <c r="F199" t="s">
        <v>381</v>
      </c>
      <c r="G199" s="34" t="s">
        <v>402</v>
      </c>
      <c r="H199" t="s">
        <v>76</v>
      </c>
      <c r="I199" t="s">
        <v>279</v>
      </c>
      <c r="J199" t="s">
        <v>42</v>
      </c>
      <c r="K199" t="s">
        <v>39</v>
      </c>
      <c r="L199" t="s">
        <v>40</v>
      </c>
    </row>
    <row r="200" spans="1:12" x14ac:dyDescent="0.2">
      <c r="A200">
        <v>8850</v>
      </c>
      <c r="B200" t="s">
        <v>255</v>
      </c>
      <c r="C200" t="s">
        <v>12</v>
      </c>
      <c r="D200" t="s">
        <v>12</v>
      </c>
      <c r="E200">
        <v>0</v>
      </c>
      <c r="F200" t="s">
        <v>13</v>
      </c>
      <c r="G200" s="34" t="s">
        <v>391</v>
      </c>
      <c r="H200" t="s">
        <v>28</v>
      </c>
      <c r="I200" t="s">
        <v>57</v>
      </c>
      <c r="J200" t="s">
        <v>30</v>
      </c>
      <c r="K200" t="s">
        <v>33</v>
      </c>
      <c r="L200" t="s">
        <v>291</v>
      </c>
    </row>
    <row r="201" spans="1:12" x14ac:dyDescent="0.2">
      <c r="A201">
        <v>8852</v>
      </c>
      <c r="B201" t="s">
        <v>255</v>
      </c>
      <c r="C201" t="s">
        <v>12</v>
      </c>
      <c r="D201" t="s">
        <v>12</v>
      </c>
      <c r="E201">
        <v>0</v>
      </c>
      <c r="F201" t="s">
        <v>13</v>
      </c>
      <c r="G201" s="34" t="s">
        <v>391</v>
      </c>
      <c r="H201" t="s">
        <v>28</v>
      </c>
      <c r="I201" t="s">
        <v>57</v>
      </c>
      <c r="J201" t="s">
        <v>30</v>
      </c>
      <c r="K201" t="s">
        <v>33</v>
      </c>
      <c r="L201" t="s">
        <v>52</v>
      </c>
    </row>
    <row r="202" spans="1:12" x14ac:dyDescent="0.2">
      <c r="A202">
        <v>8919</v>
      </c>
      <c r="B202" t="s">
        <v>255</v>
      </c>
      <c r="C202" t="s">
        <v>19</v>
      </c>
      <c r="D202" t="s">
        <v>20</v>
      </c>
      <c r="E202">
        <v>1</v>
      </c>
      <c r="F202" t="s">
        <v>381</v>
      </c>
      <c r="G202" s="34" t="s">
        <v>391</v>
      </c>
      <c r="H202" t="s">
        <v>21</v>
      </c>
      <c r="I202" t="s">
        <v>85</v>
      </c>
      <c r="J202" t="s">
        <v>16</v>
      </c>
      <c r="K202" t="s">
        <v>63</v>
      </c>
      <c r="L202" t="s">
        <v>63</v>
      </c>
    </row>
    <row r="203" spans="1:12" x14ac:dyDescent="0.2">
      <c r="A203">
        <v>9023</v>
      </c>
      <c r="B203" t="s">
        <v>255</v>
      </c>
      <c r="C203" t="s">
        <v>12</v>
      </c>
      <c r="D203" t="s">
        <v>12</v>
      </c>
      <c r="E203">
        <v>0</v>
      </c>
      <c r="F203" t="s">
        <v>13</v>
      </c>
      <c r="G203" s="34" t="s">
        <v>391</v>
      </c>
      <c r="H203" t="s">
        <v>56</v>
      </c>
      <c r="I203" t="s">
        <v>57</v>
      </c>
      <c r="J203" t="s">
        <v>30</v>
      </c>
      <c r="K203" t="s">
        <v>33</v>
      </c>
      <c r="L203" t="s">
        <v>292</v>
      </c>
    </row>
    <row r="204" spans="1:12" x14ac:dyDescent="0.2">
      <c r="A204">
        <v>9293</v>
      </c>
      <c r="B204" t="s">
        <v>255</v>
      </c>
      <c r="C204" t="s">
        <v>12</v>
      </c>
      <c r="D204" t="s">
        <v>12</v>
      </c>
      <c r="E204">
        <v>0</v>
      </c>
      <c r="F204" t="s">
        <v>13</v>
      </c>
      <c r="G204" s="34" t="s">
        <v>391</v>
      </c>
      <c r="H204" t="s">
        <v>21</v>
      </c>
      <c r="I204" t="s">
        <v>57</v>
      </c>
      <c r="J204" t="s">
        <v>30</v>
      </c>
      <c r="K204" t="s">
        <v>33</v>
      </c>
      <c r="L204" t="s">
        <v>338</v>
      </c>
    </row>
    <row r="205" spans="1:12" x14ac:dyDescent="0.2">
      <c r="A205">
        <v>9343</v>
      </c>
      <c r="B205" t="s">
        <v>255</v>
      </c>
      <c r="C205" t="s">
        <v>19</v>
      </c>
      <c r="D205" t="s">
        <v>19</v>
      </c>
      <c r="E205">
        <v>0</v>
      </c>
      <c r="F205" t="s">
        <v>382</v>
      </c>
      <c r="G205" s="34" t="s">
        <v>391</v>
      </c>
      <c r="H205" t="s">
        <v>21</v>
      </c>
      <c r="I205" t="s">
        <v>49</v>
      </c>
      <c r="J205" t="s">
        <v>16</v>
      </c>
      <c r="K205" t="s">
        <v>63</v>
      </c>
      <c r="L205" t="s">
        <v>111</v>
      </c>
    </row>
    <row r="206" spans="1:12" x14ac:dyDescent="0.2">
      <c r="A206">
        <v>9366</v>
      </c>
      <c r="B206" t="s">
        <v>255</v>
      </c>
      <c r="C206" t="s">
        <v>12</v>
      </c>
      <c r="D206" t="s">
        <v>12</v>
      </c>
      <c r="E206">
        <v>0</v>
      </c>
      <c r="F206" t="s">
        <v>13</v>
      </c>
      <c r="G206" s="34" t="s">
        <v>391</v>
      </c>
      <c r="H206" t="s">
        <v>28</v>
      </c>
      <c r="I206" t="s">
        <v>24</v>
      </c>
      <c r="J206" t="s">
        <v>25</v>
      </c>
      <c r="K206" t="s">
        <v>37</v>
      </c>
      <c r="L206" t="s">
        <v>265</v>
      </c>
    </row>
    <row r="207" spans="1:12" x14ac:dyDescent="0.2">
      <c r="A207">
        <v>9370</v>
      </c>
      <c r="B207" t="s">
        <v>255</v>
      </c>
      <c r="C207" t="s">
        <v>12</v>
      </c>
      <c r="D207" t="s">
        <v>12</v>
      </c>
      <c r="E207">
        <v>0</v>
      </c>
      <c r="F207" t="s">
        <v>13</v>
      </c>
      <c r="G207" s="34" t="s">
        <v>36</v>
      </c>
      <c r="H207" t="s">
        <v>28</v>
      </c>
      <c r="I207" t="s">
        <v>390</v>
      </c>
      <c r="J207" t="s">
        <v>36</v>
      </c>
      <c r="K207" t="s">
        <v>17</v>
      </c>
      <c r="L207" t="s">
        <v>209</v>
      </c>
    </row>
    <row r="208" spans="1:12" x14ac:dyDescent="0.2">
      <c r="A208">
        <v>9444</v>
      </c>
      <c r="B208" t="s">
        <v>255</v>
      </c>
      <c r="C208" t="s">
        <v>12</v>
      </c>
      <c r="D208" t="s">
        <v>12</v>
      </c>
      <c r="E208">
        <v>0</v>
      </c>
      <c r="F208" t="s">
        <v>13</v>
      </c>
      <c r="G208" s="34" t="s">
        <v>391</v>
      </c>
      <c r="H208" t="s">
        <v>28</v>
      </c>
      <c r="I208" t="s">
        <v>24</v>
      </c>
      <c r="J208" t="s">
        <v>25</v>
      </c>
      <c r="K208" t="s">
        <v>37</v>
      </c>
      <c r="L208" t="s">
        <v>375</v>
      </c>
    </row>
    <row r="209" spans="1:12" x14ac:dyDescent="0.2">
      <c r="A209">
        <v>9447</v>
      </c>
      <c r="B209" t="s">
        <v>255</v>
      </c>
      <c r="C209" t="s">
        <v>12</v>
      </c>
      <c r="D209" t="s">
        <v>12</v>
      </c>
      <c r="E209">
        <v>0</v>
      </c>
      <c r="F209" t="s">
        <v>13</v>
      </c>
      <c r="G209" s="34" t="s">
        <v>391</v>
      </c>
      <c r="H209" t="s">
        <v>28</v>
      </c>
      <c r="I209" t="s">
        <v>24</v>
      </c>
      <c r="J209" t="s">
        <v>25</v>
      </c>
      <c r="K209" t="s">
        <v>37</v>
      </c>
      <c r="L209" t="s">
        <v>281</v>
      </c>
    </row>
    <row r="210" spans="1:12" x14ac:dyDescent="0.2">
      <c r="A210">
        <v>9452</v>
      </c>
      <c r="B210" t="s">
        <v>255</v>
      </c>
      <c r="C210" t="s">
        <v>12</v>
      </c>
      <c r="D210" t="s">
        <v>12</v>
      </c>
      <c r="E210">
        <v>0</v>
      </c>
      <c r="F210" t="s">
        <v>13</v>
      </c>
      <c r="G210" s="34" t="s">
        <v>391</v>
      </c>
      <c r="H210" t="s">
        <v>28</v>
      </c>
      <c r="I210" t="s">
        <v>24</v>
      </c>
      <c r="J210" t="s">
        <v>25</v>
      </c>
      <c r="K210" t="s">
        <v>37</v>
      </c>
      <c r="L210" t="s">
        <v>378</v>
      </c>
    </row>
    <row r="211" spans="1:12" x14ac:dyDescent="0.2">
      <c r="A211">
        <v>9454</v>
      </c>
      <c r="B211" t="s">
        <v>255</v>
      </c>
      <c r="C211" t="s">
        <v>12</v>
      </c>
      <c r="D211" t="s">
        <v>12</v>
      </c>
      <c r="E211">
        <v>0</v>
      </c>
      <c r="F211" t="s">
        <v>13</v>
      </c>
      <c r="G211" s="34" t="s">
        <v>391</v>
      </c>
      <c r="H211" t="s">
        <v>28</v>
      </c>
      <c r="I211" t="s">
        <v>24</v>
      </c>
      <c r="J211" t="s">
        <v>25</v>
      </c>
      <c r="K211" t="s">
        <v>37</v>
      </c>
      <c r="L211" t="s">
        <v>284</v>
      </c>
    </row>
    <row r="212" spans="1:12" x14ac:dyDescent="0.2">
      <c r="A212">
        <v>9456</v>
      </c>
      <c r="B212" t="s">
        <v>255</v>
      </c>
      <c r="C212" t="s">
        <v>12</v>
      </c>
      <c r="D212" t="s">
        <v>12</v>
      </c>
      <c r="E212">
        <v>0</v>
      </c>
      <c r="F212" t="s">
        <v>13</v>
      </c>
      <c r="G212" s="34" t="s">
        <v>391</v>
      </c>
      <c r="H212" t="s">
        <v>28</v>
      </c>
      <c r="I212" t="s">
        <v>24</v>
      </c>
      <c r="J212" t="s">
        <v>25</v>
      </c>
      <c r="K212" t="s">
        <v>37</v>
      </c>
      <c r="L212" t="s">
        <v>341</v>
      </c>
    </row>
    <row r="213" spans="1:12" x14ac:dyDescent="0.2">
      <c r="A213">
        <v>9505</v>
      </c>
      <c r="B213" t="s">
        <v>255</v>
      </c>
      <c r="C213" t="s">
        <v>12</v>
      </c>
      <c r="D213" t="s">
        <v>12</v>
      </c>
      <c r="E213">
        <v>0</v>
      </c>
      <c r="F213" t="s">
        <v>13</v>
      </c>
      <c r="G213" s="34" t="s">
        <v>391</v>
      </c>
      <c r="H213" t="s">
        <v>14</v>
      </c>
      <c r="I213" t="s">
        <v>24</v>
      </c>
      <c r="J213" t="s">
        <v>25</v>
      </c>
      <c r="K213" t="s">
        <v>37</v>
      </c>
      <c r="L213" t="s">
        <v>312</v>
      </c>
    </row>
    <row r="214" spans="1:12" x14ac:dyDescent="0.2">
      <c r="A214">
        <v>9506</v>
      </c>
      <c r="B214" t="s">
        <v>255</v>
      </c>
      <c r="C214" t="s">
        <v>12</v>
      </c>
      <c r="D214" t="s">
        <v>12</v>
      </c>
      <c r="E214">
        <v>0</v>
      </c>
      <c r="F214" t="s">
        <v>13</v>
      </c>
      <c r="G214" s="34" t="s">
        <v>391</v>
      </c>
      <c r="H214" t="s">
        <v>14</v>
      </c>
      <c r="I214" t="s">
        <v>84</v>
      </c>
      <c r="J214" t="s">
        <v>30</v>
      </c>
      <c r="K214" t="s">
        <v>54</v>
      </c>
      <c r="L214" t="s">
        <v>373</v>
      </c>
    </row>
    <row r="215" spans="1:12" x14ac:dyDescent="0.2">
      <c r="A215">
        <v>9561</v>
      </c>
      <c r="B215" t="s">
        <v>255</v>
      </c>
      <c r="C215" t="s">
        <v>19</v>
      </c>
      <c r="D215" t="s">
        <v>19</v>
      </c>
      <c r="E215">
        <v>0</v>
      </c>
      <c r="F215" t="s">
        <v>13</v>
      </c>
      <c r="G215" s="34" t="s">
        <v>391</v>
      </c>
      <c r="H215" t="s">
        <v>21</v>
      </c>
      <c r="I215" t="s">
        <v>24</v>
      </c>
      <c r="J215" t="s">
        <v>25</v>
      </c>
      <c r="K215" t="s">
        <v>37</v>
      </c>
      <c r="L215" t="s">
        <v>265</v>
      </c>
    </row>
    <row r="216" spans="1:12" x14ac:dyDescent="0.2">
      <c r="A216">
        <v>9602</v>
      </c>
      <c r="B216" t="s">
        <v>255</v>
      </c>
      <c r="C216" t="s">
        <v>12</v>
      </c>
      <c r="D216" t="s">
        <v>12</v>
      </c>
      <c r="E216">
        <v>0</v>
      </c>
      <c r="F216" t="s">
        <v>382</v>
      </c>
      <c r="G216" s="34" t="s">
        <v>391</v>
      </c>
      <c r="H216" t="s">
        <v>28</v>
      </c>
      <c r="I216" t="s">
        <v>73</v>
      </c>
      <c r="J216" t="s">
        <v>25</v>
      </c>
      <c r="K216" t="s">
        <v>37</v>
      </c>
      <c r="L216" t="s">
        <v>293</v>
      </c>
    </row>
    <row r="217" spans="1:12" x14ac:dyDescent="0.2">
      <c r="A217">
        <v>9695</v>
      </c>
      <c r="B217" t="s">
        <v>255</v>
      </c>
      <c r="C217" t="s">
        <v>12</v>
      </c>
      <c r="D217" t="s">
        <v>12</v>
      </c>
      <c r="E217">
        <v>0</v>
      </c>
      <c r="F217" t="s">
        <v>13</v>
      </c>
      <c r="G217" s="34" t="s">
        <v>391</v>
      </c>
      <c r="H217" t="s">
        <v>28</v>
      </c>
      <c r="I217" t="s">
        <v>24</v>
      </c>
      <c r="J217" t="s">
        <v>25</v>
      </c>
      <c r="K217" t="s">
        <v>37</v>
      </c>
      <c r="L217" t="s">
        <v>53</v>
      </c>
    </row>
    <row r="218" spans="1:12" x14ac:dyDescent="0.2">
      <c r="A218">
        <v>9707</v>
      </c>
      <c r="B218" t="s">
        <v>255</v>
      </c>
      <c r="C218" t="s">
        <v>12</v>
      </c>
      <c r="D218" t="s">
        <v>12</v>
      </c>
      <c r="E218">
        <v>0</v>
      </c>
      <c r="F218" t="s">
        <v>32</v>
      </c>
      <c r="G218" s="34" t="s">
        <v>402</v>
      </c>
      <c r="H218" t="s">
        <v>21</v>
      </c>
      <c r="I218" t="s">
        <v>45</v>
      </c>
      <c r="J218" t="s">
        <v>23</v>
      </c>
      <c r="K218" t="s">
        <v>47</v>
      </c>
      <c r="L218" t="s">
        <v>210</v>
      </c>
    </row>
    <row r="219" spans="1:12" x14ac:dyDescent="0.2">
      <c r="A219">
        <v>9730</v>
      </c>
      <c r="B219" t="s">
        <v>255</v>
      </c>
      <c r="C219" t="s">
        <v>12</v>
      </c>
      <c r="D219" t="s">
        <v>12</v>
      </c>
      <c r="E219">
        <v>0</v>
      </c>
      <c r="F219" t="s">
        <v>13</v>
      </c>
      <c r="G219" s="34" t="s">
        <v>391</v>
      </c>
      <c r="H219" t="s">
        <v>28</v>
      </c>
      <c r="I219" t="s">
        <v>24</v>
      </c>
      <c r="J219" t="s">
        <v>25</v>
      </c>
      <c r="K219" t="s">
        <v>37</v>
      </c>
      <c r="L219" t="s">
        <v>141</v>
      </c>
    </row>
    <row r="220" spans="1:12" x14ac:dyDescent="0.2">
      <c r="A220">
        <v>9745</v>
      </c>
      <c r="B220" t="s">
        <v>255</v>
      </c>
      <c r="C220" t="s">
        <v>12</v>
      </c>
      <c r="D220" t="s">
        <v>12</v>
      </c>
      <c r="E220">
        <v>0</v>
      </c>
      <c r="F220" t="s">
        <v>13</v>
      </c>
      <c r="G220" s="34" t="s">
        <v>391</v>
      </c>
      <c r="H220" t="s">
        <v>14</v>
      </c>
      <c r="I220" t="s">
        <v>24</v>
      </c>
      <c r="J220" t="s">
        <v>25</v>
      </c>
      <c r="K220" t="s">
        <v>37</v>
      </c>
      <c r="L220" t="s">
        <v>342</v>
      </c>
    </row>
    <row r="221" spans="1:12" x14ac:dyDescent="0.2">
      <c r="A221">
        <v>9753</v>
      </c>
      <c r="B221" t="s">
        <v>255</v>
      </c>
      <c r="C221" t="s">
        <v>19</v>
      </c>
      <c r="D221" t="s">
        <v>19</v>
      </c>
      <c r="E221">
        <v>0</v>
      </c>
      <c r="F221" t="s">
        <v>382</v>
      </c>
      <c r="G221" s="34" t="s">
        <v>391</v>
      </c>
      <c r="H221" t="s">
        <v>21</v>
      </c>
      <c r="I221" t="s">
        <v>24</v>
      </c>
      <c r="J221" t="s">
        <v>25</v>
      </c>
      <c r="K221" t="s">
        <v>26</v>
      </c>
      <c r="L221" t="s">
        <v>257</v>
      </c>
    </row>
    <row r="222" spans="1:12" x14ac:dyDescent="0.2">
      <c r="A222">
        <v>9768</v>
      </c>
      <c r="B222" t="s">
        <v>255</v>
      </c>
      <c r="C222" t="s">
        <v>12</v>
      </c>
      <c r="D222" t="s">
        <v>12</v>
      </c>
      <c r="E222">
        <v>0</v>
      </c>
      <c r="F222" t="s">
        <v>13</v>
      </c>
      <c r="G222" s="34" t="s">
        <v>391</v>
      </c>
      <c r="H222" t="s">
        <v>28</v>
      </c>
      <c r="I222" t="s">
        <v>24</v>
      </c>
      <c r="J222" t="s">
        <v>25</v>
      </c>
      <c r="K222" t="s">
        <v>37</v>
      </c>
      <c r="L222" t="s">
        <v>141</v>
      </c>
    </row>
    <row r="223" spans="1:12" x14ac:dyDescent="0.2">
      <c r="A223">
        <v>9845</v>
      </c>
      <c r="B223" t="s">
        <v>255</v>
      </c>
      <c r="C223" t="s">
        <v>12</v>
      </c>
      <c r="D223" t="s">
        <v>12</v>
      </c>
      <c r="E223">
        <v>0</v>
      </c>
      <c r="F223" t="s">
        <v>382</v>
      </c>
      <c r="G223" s="34" t="s">
        <v>391</v>
      </c>
      <c r="H223" t="s">
        <v>28</v>
      </c>
      <c r="I223" t="s">
        <v>24</v>
      </c>
      <c r="J223" t="s">
        <v>25</v>
      </c>
      <c r="K223" t="s">
        <v>37</v>
      </c>
      <c r="L223" t="s">
        <v>317</v>
      </c>
    </row>
    <row r="224" spans="1:12" x14ac:dyDescent="0.2">
      <c r="A224">
        <v>9847</v>
      </c>
      <c r="B224" t="s">
        <v>255</v>
      </c>
      <c r="C224" t="s">
        <v>12</v>
      </c>
      <c r="D224" t="s">
        <v>12</v>
      </c>
      <c r="E224">
        <v>0</v>
      </c>
      <c r="F224" t="s">
        <v>13</v>
      </c>
      <c r="G224" s="34" t="s">
        <v>391</v>
      </c>
      <c r="H224" t="s">
        <v>28</v>
      </c>
      <c r="I224" t="s">
        <v>24</v>
      </c>
      <c r="J224" t="s">
        <v>25</v>
      </c>
      <c r="K224" t="s">
        <v>37</v>
      </c>
      <c r="L224" t="s">
        <v>286</v>
      </c>
    </row>
    <row r="225" spans="1:12" x14ac:dyDescent="0.2">
      <c r="A225">
        <v>9849</v>
      </c>
      <c r="B225" t="s">
        <v>255</v>
      </c>
      <c r="C225" t="s">
        <v>12</v>
      </c>
      <c r="D225" t="s">
        <v>12</v>
      </c>
      <c r="E225">
        <v>0</v>
      </c>
      <c r="F225" t="s">
        <v>13</v>
      </c>
      <c r="G225" s="34" t="s">
        <v>391</v>
      </c>
      <c r="H225" t="s">
        <v>28</v>
      </c>
      <c r="I225" t="s">
        <v>390</v>
      </c>
      <c r="J225" t="s">
        <v>36</v>
      </c>
      <c r="K225" t="s">
        <v>37</v>
      </c>
      <c r="L225" t="s">
        <v>281</v>
      </c>
    </row>
    <row r="226" spans="1:12" x14ac:dyDescent="0.2">
      <c r="A226">
        <v>9861</v>
      </c>
      <c r="B226" t="s">
        <v>255</v>
      </c>
      <c r="C226" t="s">
        <v>19</v>
      </c>
      <c r="D226" t="s">
        <v>19</v>
      </c>
      <c r="E226">
        <v>0</v>
      </c>
      <c r="F226" t="s">
        <v>382</v>
      </c>
      <c r="G226" s="34" t="s">
        <v>391</v>
      </c>
      <c r="H226" t="s">
        <v>21</v>
      </c>
      <c r="I226" t="s">
        <v>49</v>
      </c>
      <c r="J226" t="s">
        <v>16</v>
      </c>
      <c r="K226" t="s">
        <v>63</v>
      </c>
      <c r="L226" t="s">
        <v>111</v>
      </c>
    </row>
    <row r="227" spans="1:12" x14ac:dyDescent="0.2">
      <c r="A227">
        <v>9980</v>
      </c>
      <c r="B227" t="s">
        <v>255</v>
      </c>
      <c r="C227" t="s">
        <v>12</v>
      </c>
      <c r="D227" t="s">
        <v>12</v>
      </c>
      <c r="E227">
        <v>0</v>
      </c>
      <c r="F227" t="s">
        <v>13</v>
      </c>
      <c r="G227" s="34" t="s">
        <v>460</v>
      </c>
      <c r="H227" t="s">
        <v>44</v>
      </c>
      <c r="I227" t="s">
        <v>24</v>
      </c>
      <c r="J227" t="s">
        <v>25</v>
      </c>
      <c r="K227" t="s">
        <v>37</v>
      </c>
      <c r="L227" t="s">
        <v>310</v>
      </c>
    </row>
    <row r="228" spans="1:12" x14ac:dyDescent="0.2">
      <c r="A228">
        <v>10014</v>
      </c>
      <c r="B228" t="s">
        <v>255</v>
      </c>
      <c r="C228" t="s">
        <v>12</v>
      </c>
      <c r="D228" t="s">
        <v>12</v>
      </c>
      <c r="E228">
        <v>0</v>
      </c>
      <c r="F228" t="s">
        <v>13</v>
      </c>
      <c r="G228" s="34" t="s">
        <v>391</v>
      </c>
      <c r="H228" t="s">
        <v>28</v>
      </c>
      <c r="I228" t="s">
        <v>24</v>
      </c>
      <c r="J228" t="s">
        <v>25</v>
      </c>
      <c r="K228" t="s">
        <v>37</v>
      </c>
      <c r="L228" t="s">
        <v>349</v>
      </c>
    </row>
    <row r="229" spans="1:12" x14ac:dyDescent="0.2">
      <c r="A229">
        <v>10136</v>
      </c>
      <c r="B229" t="s">
        <v>255</v>
      </c>
      <c r="C229" t="s">
        <v>12</v>
      </c>
      <c r="D229" t="s">
        <v>12</v>
      </c>
      <c r="E229">
        <v>0</v>
      </c>
      <c r="F229" t="s">
        <v>382</v>
      </c>
      <c r="G229" s="34" t="s">
        <v>428</v>
      </c>
      <c r="H229" t="s">
        <v>56</v>
      </c>
      <c r="I229" t="s">
        <v>390</v>
      </c>
      <c r="J229" t="s">
        <v>36</v>
      </c>
      <c r="K229" t="s">
        <v>33</v>
      </c>
      <c r="L229" t="s">
        <v>155</v>
      </c>
    </row>
    <row r="230" spans="1:12" x14ac:dyDescent="0.2">
      <c r="A230">
        <v>10151</v>
      </c>
      <c r="B230" t="s">
        <v>255</v>
      </c>
      <c r="C230" t="s">
        <v>12</v>
      </c>
      <c r="D230" t="s">
        <v>12</v>
      </c>
      <c r="E230">
        <v>0</v>
      </c>
      <c r="F230" t="s">
        <v>13</v>
      </c>
      <c r="G230" s="34" t="s">
        <v>391</v>
      </c>
      <c r="H230" t="s">
        <v>14</v>
      </c>
      <c r="I230" t="s">
        <v>49</v>
      </c>
      <c r="J230" t="s">
        <v>25</v>
      </c>
      <c r="K230" t="s">
        <v>37</v>
      </c>
      <c r="L230" t="s">
        <v>361</v>
      </c>
    </row>
    <row r="231" spans="1:12" x14ac:dyDescent="0.2">
      <c r="A231">
        <v>10164</v>
      </c>
      <c r="B231" t="s">
        <v>255</v>
      </c>
      <c r="C231" t="s">
        <v>12</v>
      </c>
      <c r="D231" t="s">
        <v>12</v>
      </c>
      <c r="E231">
        <v>0</v>
      </c>
      <c r="F231" t="s">
        <v>13</v>
      </c>
      <c r="G231" s="34" t="s">
        <v>391</v>
      </c>
      <c r="H231" t="s">
        <v>28</v>
      </c>
      <c r="I231" t="s">
        <v>24</v>
      </c>
      <c r="J231" t="s">
        <v>25</v>
      </c>
      <c r="K231" t="s">
        <v>63</v>
      </c>
      <c r="L231" t="s">
        <v>346</v>
      </c>
    </row>
    <row r="232" spans="1:12" x14ac:dyDescent="0.2">
      <c r="A232">
        <v>10166</v>
      </c>
      <c r="B232" t="s">
        <v>255</v>
      </c>
      <c r="C232" t="s">
        <v>12</v>
      </c>
      <c r="D232" t="s">
        <v>12</v>
      </c>
      <c r="E232">
        <v>0</v>
      </c>
      <c r="F232" t="s">
        <v>13</v>
      </c>
      <c r="G232" s="34" t="s">
        <v>391</v>
      </c>
      <c r="H232" t="s">
        <v>28</v>
      </c>
      <c r="I232" t="s">
        <v>24</v>
      </c>
      <c r="J232" t="s">
        <v>25</v>
      </c>
      <c r="K232" t="s">
        <v>37</v>
      </c>
      <c r="L232" t="s">
        <v>348</v>
      </c>
    </row>
    <row r="233" spans="1:12" x14ac:dyDescent="0.2">
      <c r="A233">
        <v>10168</v>
      </c>
      <c r="B233" t="s">
        <v>255</v>
      </c>
      <c r="C233" t="s">
        <v>12</v>
      </c>
      <c r="D233" t="s">
        <v>12</v>
      </c>
      <c r="E233">
        <v>0</v>
      </c>
      <c r="F233" t="s">
        <v>13</v>
      </c>
      <c r="G233" s="34" t="s">
        <v>460</v>
      </c>
      <c r="H233" t="s">
        <v>28</v>
      </c>
      <c r="I233" t="s">
        <v>24</v>
      </c>
      <c r="J233" t="s">
        <v>25</v>
      </c>
      <c r="K233" t="s">
        <v>37</v>
      </c>
      <c r="L233" t="s">
        <v>180</v>
      </c>
    </row>
    <row r="234" spans="1:12" x14ac:dyDescent="0.2">
      <c r="A234">
        <v>10174</v>
      </c>
      <c r="B234" t="s">
        <v>255</v>
      </c>
      <c r="C234" t="s">
        <v>12</v>
      </c>
      <c r="D234" t="s">
        <v>12</v>
      </c>
      <c r="E234">
        <v>0</v>
      </c>
      <c r="F234" t="s">
        <v>13</v>
      </c>
      <c r="G234" s="34" t="s">
        <v>391</v>
      </c>
      <c r="H234" t="s">
        <v>28</v>
      </c>
      <c r="I234" t="s">
        <v>24</v>
      </c>
      <c r="J234" t="s">
        <v>25</v>
      </c>
      <c r="K234" t="s">
        <v>54</v>
      </c>
      <c r="L234" t="s">
        <v>330</v>
      </c>
    </row>
    <row r="235" spans="1:12" x14ac:dyDescent="0.2">
      <c r="A235">
        <v>10177</v>
      </c>
      <c r="B235" t="s">
        <v>255</v>
      </c>
      <c r="C235" t="s">
        <v>12</v>
      </c>
      <c r="D235" t="s">
        <v>12</v>
      </c>
      <c r="E235">
        <v>0</v>
      </c>
      <c r="F235" t="s">
        <v>13</v>
      </c>
      <c r="G235" s="34" t="s">
        <v>391</v>
      </c>
      <c r="H235" t="s">
        <v>28</v>
      </c>
      <c r="I235" t="s">
        <v>24</v>
      </c>
      <c r="J235" t="s">
        <v>25</v>
      </c>
      <c r="K235" t="s">
        <v>37</v>
      </c>
      <c r="L235" t="s">
        <v>53</v>
      </c>
    </row>
    <row r="236" spans="1:12" x14ac:dyDescent="0.2">
      <c r="A236">
        <v>10179</v>
      </c>
      <c r="B236" t="s">
        <v>255</v>
      </c>
      <c r="C236" t="s">
        <v>12</v>
      </c>
      <c r="D236" t="s">
        <v>12</v>
      </c>
      <c r="E236">
        <v>0</v>
      </c>
      <c r="F236" t="s">
        <v>13</v>
      </c>
      <c r="G236" s="34" t="s">
        <v>391</v>
      </c>
      <c r="H236" t="s">
        <v>28</v>
      </c>
      <c r="I236" t="s">
        <v>24</v>
      </c>
      <c r="J236" t="s">
        <v>25</v>
      </c>
      <c r="K236" t="s">
        <v>37</v>
      </c>
      <c r="L236" t="s">
        <v>244</v>
      </c>
    </row>
    <row r="237" spans="1:12" x14ac:dyDescent="0.2">
      <c r="A237">
        <v>10180</v>
      </c>
      <c r="B237" t="s">
        <v>255</v>
      </c>
      <c r="C237" t="s">
        <v>12</v>
      </c>
      <c r="D237" t="s">
        <v>12</v>
      </c>
      <c r="E237">
        <v>0</v>
      </c>
      <c r="F237" t="s">
        <v>13</v>
      </c>
      <c r="G237" s="34" t="s">
        <v>36</v>
      </c>
      <c r="H237" t="s">
        <v>28</v>
      </c>
      <c r="I237" t="s">
        <v>390</v>
      </c>
      <c r="J237" t="s">
        <v>36</v>
      </c>
      <c r="K237" t="s">
        <v>37</v>
      </c>
      <c r="L237" t="s">
        <v>43</v>
      </c>
    </row>
    <row r="238" spans="1:12" x14ac:dyDescent="0.2">
      <c r="A238">
        <v>10181</v>
      </c>
      <c r="B238" t="s">
        <v>255</v>
      </c>
      <c r="C238" t="s">
        <v>12</v>
      </c>
      <c r="D238" t="s">
        <v>12</v>
      </c>
      <c r="E238">
        <v>0</v>
      </c>
      <c r="F238" t="s">
        <v>13</v>
      </c>
      <c r="G238" s="34" t="s">
        <v>391</v>
      </c>
      <c r="H238" t="s">
        <v>28</v>
      </c>
      <c r="I238" t="s">
        <v>24</v>
      </c>
      <c r="J238" t="s">
        <v>25</v>
      </c>
      <c r="K238" t="s">
        <v>37</v>
      </c>
      <c r="L238" t="s">
        <v>107</v>
      </c>
    </row>
    <row r="239" spans="1:12" x14ac:dyDescent="0.2">
      <c r="A239">
        <v>10182</v>
      </c>
      <c r="B239" t="s">
        <v>255</v>
      </c>
      <c r="C239" t="s">
        <v>12</v>
      </c>
      <c r="D239" t="s">
        <v>12</v>
      </c>
      <c r="E239">
        <v>0</v>
      </c>
      <c r="F239" t="s">
        <v>13</v>
      </c>
      <c r="G239" s="34" t="s">
        <v>391</v>
      </c>
      <c r="H239" t="s">
        <v>28</v>
      </c>
      <c r="I239" t="s">
        <v>24</v>
      </c>
      <c r="J239" t="s">
        <v>25</v>
      </c>
      <c r="K239" t="s">
        <v>37</v>
      </c>
      <c r="L239" t="s">
        <v>141</v>
      </c>
    </row>
    <row r="240" spans="1:12" x14ac:dyDescent="0.2">
      <c r="A240">
        <v>10238</v>
      </c>
      <c r="B240" t="s">
        <v>255</v>
      </c>
      <c r="C240" t="s">
        <v>12</v>
      </c>
      <c r="D240" t="s">
        <v>12</v>
      </c>
      <c r="E240">
        <v>0</v>
      </c>
      <c r="F240" t="s">
        <v>32</v>
      </c>
      <c r="G240" s="34" t="s">
        <v>402</v>
      </c>
      <c r="H240" t="s">
        <v>56</v>
      </c>
      <c r="I240" t="s">
        <v>45</v>
      </c>
      <c r="J240" t="s">
        <v>23</v>
      </c>
      <c r="K240" t="s">
        <v>33</v>
      </c>
      <c r="L240" t="s">
        <v>318</v>
      </c>
    </row>
    <row r="241" spans="1:12" x14ac:dyDescent="0.2">
      <c r="A241">
        <v>10239</v>
      </c>
      <c r="B241" t="s">
        <v>255</v>
      </c>
      <c r="C241" t="s">
        <v>12</v>
      </c>
      <c r="D241" t="s">
        <v>12</v>
      </c>
      <c r="E241">
        <v>0</v>
      </c>
      <c r="F241" t="s">
        <v>32</v>
      </c>
      <c r="G241" s="34" t="s">
        <v>402</v>
      </c>
      <c r="H241" t="s">
        <v>28</v>
      </c>
      <c r="I241" t="s">
        <v>189</v>
      </c>
      <c r="J241" t="s">
        <v>42</v>
      </c>
      <c r="K241" t="s">
        <v>33</v>
      </c>
      <c r="L241" t="s">
        <v>318</v>
      </c>
    </row>
  </sheetData>
  <sortState xmlns:xlrd2="http://schemas.microsoft.com/office/spreadsheetml/2017/richdata2" ref="A2:L241">
    <sortCondition ref="A2:A241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6F8F-1A64-4943-B30F-5567BA6433CD}">
  <dimension ref="A1:N235"/>
  <sheetViews>
    <sheetView topLeftCell="A191" workbookViewId="0">
      <selection activeCell="A220" sqref="A220:G230"/>
    </sheetView>
  </sheetViews>
  <sheetFormatPr baseColWidth="10" defaultRowHeight="15" x14ac:dyDescent="0.2"/>
  <cols>
    <col min="1" max="7" width="26" customWidth="1"/>
  </cols>
  <sheetData>
    <row r="1" spans="1:7" x14ac:dyDescent="0.2">
      <c r="A1" t="s">
        <v>0</v>
      </c>
      <c r="B1" t="s">
        <v>5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</row>
    <row r="2" spans="1:7" x14ac:dyDescent="0.2">
      <c r="A2" s="2">
        <v>138</v>
      </c>
      <c r="B2" s="3" t="s">
        <v>382</v>
      </c>
      <c r="C2" s="3" t="s">
        <v>17</v>
      </c>
      <c r="D2" t="s">
        <v>420</v>
      </c>
      <c r="E2" t="s">
        <v>56</v>
      </c>
      <c r="F2" t="s">
        <v>390</v>
      </c>
      <c r="G2" t="s">
        <v>390</v>
      </c>
    </row>
    <row r="3" spans="1:7" x14ac:dyDescent="0.2">
      <c r="A3" s="2">
        <v>241</v>
      </c>
      <c r="B3" t="s">
        <v>382</v>
      </c>
      <c r="C3" t="s">
        <v>37</v>
      </c>
      <c r="D3" t="s">
        <v>391</v>
      </c>
      <c r="E3" t="s">
        <v>21</v>
      </c>
      <c r="F3" t="s">
        <v>24</v>
      </c>
      <c r="G3" t="s">
        <v>25</v>
      </c>
    </row>
    <row r="4" spans="1:7" x14ac:dyDescent="0.2">
      <c r="A4" s="2">
        <v>259</v>
      </c>
      <c r="B4" s="3" t="s">
        <v>381</v>
      </c>
      <c r="C4" s="3" t="s">
        <v>17</v>
      </c>
      <c r="D4" t="s">
        <v>420</v>
      </c>
      <c r="E4" t="s">
        <v>56</v>
      </c>
      <c r="F4" t="s">
        <v>390</v>
      </c>
      <c r="G4" t="s">
        <v>390</v>
      </c>
    </row>
    <row r="5" spans="1:7" x14ac:dyDescent="0.2">
      <c r="A5" s="2">
        <v>264</v>
      </c>
      <c r="B5" s="3" t="s">
        <v>392</v>
      </c>
      <c r="C5" t="s">
        <v>37</v>
      </c>
      <c r="D5" t="s">
        <v>391</v>
      </c>
      <c r="E5" t="s">
        <v>21</v>
      </c>
      <c r="F5" t="s">
        <v>130</v>
      </c>
      <c r="G5" t="s">
        <v>23</v>
      </c>
    </row>
    <row r="6" spans="1:7" x14ac:dyDescent="0.2">
      <c r="A6" s="2">
        <v>273</v>
      </c>
      <c r="B6" s="3" t="s">
        <v>381</v>
      </c>
      <c r="C6" s="3" t="s">
        <v>17</v>
      </c>
      <c r="D6" t="s">
        <v>391</v>
      </c>
      <c r="E6" t="s">
        <v>21</v>
      </c>
      <c r="F6" t="s">
        <v>390</v>
      </c>
      <c r="G6" t="s">
        <v>390</v>
      </c>
    </row>
    <row r="7" spans="1:7" x14ac:dyDescent="0.2">
      <c r="A7" s="2">
        <v>383</v>
      </c>
      <c r="B7" s="3" t="s">
        <v>382</v>
      </c>
      <c r="C7" s="3" t="s">
        <v>37</v>
      </c>
      <c r="D7" t="s">
        <v>391</v>
      </c>
      <c r="E7" t="s">
        <v>21</v>
      </c>
      <c r="F7" t="s">
        <v>57</v>
      </c>
      <c r="G7" t="s">
        <v>30</v>
      </c>
    </row>
    <row r="8" spans="1:7" x14ac:dyDescent="0.2">
      <c r="A8" s="2">
        <v>416</v>
      </c>
      <c r="B8" s="3" t="s">
        <v>382</v>
      </c>
      <c r="C8" s="3" t="s">
        <v>26</v>
      </c>
      <c r="D8" t="s">
        <v>391</v>
      </c>
      <c r="E8" t="s">
        <v>21</v>
      </c>
      <c r="F8" t="s">
        <v>121</v>
      </c>
      <c r="G8" t="s">
        <v>25</v>
      </c>
    </row>
    <row r="9" spans="1:7" x14ac:dyDescent="0.2">
      <c r="A9" s="2">
        <v>474</v>
      </c>
      <c r="B9" s="3" t="s">
        <v>381</v>
      </c>
      <c r="C9" s="3" t="s">
        <v>17</v>
      </c>
      <c r="D9" t="s">
        <v>391</v>
      </c>
      <c r="E9" t="s">
        <v>21</v>
      </c>
      <c r="F9" t="s">
        <v>49</v>
      </c>
      <c r="G9" t="s">
        <v>16</v>
      </c>
    </row>
    <row r="10" spans="1:7" x14ac:dyDescent="0.2">
      <c r="A10" s="2">
        <v>516</v>
      </c>
      <c r="B10" s="3" t="s">
        <v>382</v>
      </c>
      <c r="C10" s="3" t="s">
        <v>37</v>
      </c>
      <c r="D10" t="s">
        <v>391</v>
      </c>
      <c r="E10" t="s">
        <v>21</v>
      </c>
      <c r="F10" t="s">
        <v>78</v>
      </c>
      <c r="G10" t="s">
        <v>30</v>
      </c>
    </row>
    <row r="11" spans="1:7" x14ac:dyDescent="0.2">
      <c r="A11" s="2">
        <v>729</v>
      </c>
      <c r="B11" s="3" t="s">
        <v>381</v>
      </c>
      <c r="C11" s="3" t="s">
        <v>55</v>
      </c>
      <c r="D11" t="s">
        <v>148</v>
      </c>
      <c r="E11" t="s">
        <v>56</v>
      </c>
      <c r="F11" t="s">
        <v>390</v>
      </c>
      <c r="G11" t="s">
        <v>390</v>
      </c>
    </row>
    <row r="12" spans="1:7" x14ac:dyDescent="0.2">
      <c r="A12" s="2">
        <v>761</v>
      </c>
      <c r="B12" s="3" t="s">
        <v>397</v>
      </c>
      <c r="C12" s="3" t="s">
        <v>33</v>
      </c>
      <c r="D12" t="s">
        <v>402</v>
      </c>
      <c r="E12" t="s">
        <v>56</v>
      </c>
      <c r="F12" t="s">
        <v>400</v>
      </c>
      <c r="G12" t="s">
        <v>42</v>
      </c>
    </row>
    <row r="13" spans="1:7" x14ac:dyDescent="0.2">
      <c r="A13" s="2">
        <v>779</v>
      </c>
      <c r="B13" s="3" t="s">
        <v>392</v>
      </c>
      <c r="C13" s="3" t="s">
        <v>26</v>
      </c>
      <c r="D13" t="s">
        <v>402</v>
      </c>
      <c r="E13" t="s">
        <v>14</v>
      </c>
      <c r="F13" t="s">
        <v>69</v>
      </c>
      <c r="G13" t="s">
        <v>42</v>
      </c>
    </row>
    <row r="14" spans="1:7" x14ac:dyDescent="0.2">
      <c r="A14" s="2">
        <v>837</v>
      </c>
      <c r="B14" s="3" t="s">
        <v>381</v>
      </c>
      <c r="C14" s="3" t="s">
        <v>17</v>
      </c>
      <c r="D14" t="s">
        <v>391</v>
      </c>
      <c r="E14" t="s">
        <v>21</v>
      </c>
      <c r="F14" t="s">
        <v>49</v>
      </c>
      <c r="G14" t="s">
        <v>16</v>
      </c>
    </row>
    <row r="15" spans="1:7" x14ac:dyDescent="0.2">
      <c r="A15" s="2">
        <v>877</v>
      </c>
      <c r="B15" s="3" t="s">
        <v>381</v>
      </c>
      <c r="C15" s="3" t="s">
        <v>17</v>
      </c>
      <c r="D15" t="s">
        <v>391</v>
      </c>
      <c r="E15" t="s">
        <v>21</v>
      </c>
      <c r="F15" t="s">
        <v>65</v>
      </c>
      <c r="G15" t="s">
        <v>401</v>
      </c>
    </row>
    <row r="16" spans="1:7" x14ac:dyDescent="0.2">
      <c r="A16" s="2">
        <v>896</v>
      </c>
      <c r="B16" s="3" t="s">
        <v>381</v>
      </c>
      <c r="C16" s="3" t="s">
        <v>17</v>
      </c>
      <c r="D16" t="s">
        <v>390</v>
      </c>
      <c r="E16" t="s">
        <v>390</v>
      </c>
      <c r="F16" t="s">
        <v>390</v>
      </c>
      <c r="G16" t="s">
        <v>390</v>
      </c>
    </row>
    <row r="17" spans="1:7" x14ac:dyDescent="0.2">
      <c r="A17" s="2">
        <v>923</v>
      </c>
      <c r="B17" s="3" t="s">
        <v>392</v>
      </c>
      <c r="C17" s="3" t="s">
        <v>17</v>
      </c>
      <c r="D17" t="s">
        <v>402</v>
      </c>
      <c r="E17" t="s">
        <v>14</v>
      </c>
      <c r="F17" t="s">
        <v>61</v>
      </c>
      <c r="G17" t="s">
        <v>30</v>
      </c>
    </row>
    <row r="18" spans="1:7" x14ac:dyDescent="0.2">
      <c r="A18" s="2">
        <v>940</v>
      </c>
      <c r="B18" s="3" t="s">
        <v>392</v>
      </c>
      <c r="C18" s="3" t="s">
        <v>17</v>
      </c>
      <c r="D18" t="s">
        <v>402</v>
      </c>
      <c r="E18" t="s">
        <v>14</v>
      </c>
      <c r="F18" t="s">
        <v>61</v>
      </c>
      <c r="G18" t="s">
        <v>30</v>
      </c>
    </row>
    <row r="19" spans="1:7" x14ac:dyDescent="0.2">
      <c r="A19" s="2">
        <v>951</v>
      </c>
      <c r="B19" s="3" t="s">
        <v>392</v>
      </c>
      <c r="C19" s="3" t="s">
        <v>17</v>
      </c>
      <c r="D19" t="s">
        <v>402</v>
      </c>
      <c r="E19" t="s">
        <v>28</v>
      </c>
      <c r="F19" t="s">
        <v>403</v>
      </c>
      <c r="G19" t="s">
        <v>42</v>
      </c>
    </row>
    <row r="20" spans="1:7" x14ac:dyDescent="0.2">
      <c r="A20">
        <v>987</v>
      </c>
      <c r="B20" t="s">
        <v>382</v>
      </c>
      <c r="C20" t="s">
        <v>37</v>
      </c>
      <c r="D20" t="s">
        <v>404</v>
      </c>
      <c r="E20" t="s">
        <v>21</v>
      </c>
      <c r="F20" t="s">
        <v>390</v>
      </c>
      <c r="G20" t="s">
        <v>51</v>
      </c>
    </row>
    <row r="21" spans="1:7" x14ac:dyDescent="0.2">
      <c r="A21" s="2">
        <v>1010</v>
      </c>
      <c r="B21" s="3" t="s">
        <v>381</v>
      </c>
      <c r="C21" s="3" t="s">
        <v>17</v>
      </c>
      <c r="D21" t="s">
        <v>391</v>
      </c>
      <c r="E21" t="s">
        <v>21</v>
      </c>
      <c r="F21" t="s">
        <v>288</v>
      </c>
      <c r="G21" t="s">
        <v>25</v>
      </c>
    </row>
    <row r="22" spans="1:7" x14ac:dyDescent="0.2">
      <c r="A22" s="2">
        <v>1058</v>
      </c>
      <c r="B22" s="3" t="s">
        <v>392</v>
      </c>
      <c r="C22" s="3" t="s">
        <v>63</v>
      </c>
      <c r="D22" t="s">
        <v>402</v>
      </c>
      <c r="E22" t="s">
        <v>28</v>
      </c>
      <c r="F22" t="s">
        <v>124</v>
      </c>
      <c r="G22" t="s">
        <v>23</v>
      </c>
    </row>
    <row r="23" spans="1:7" x14ac:dyDescent="0.2">
      <c r="A23" s="3">
        <v>1170</v>
      </c>
      <c r="B23" s="3" t="s">
        <v>381</v>
      </c>
      <c r="C23" s="3" t="s">
        <v>55</v>
      </c>
      <c r="D23" s="3" t="s">
        <v>402</v>
      </c>
      <c r="E23" s="3" t="s">
        <v>21</v>
      </c>
      <c r="F23" s="3" t="s">
        <v>79</v>
      </c>
      <c r="G23" s="3" t="s">
        <v>406</v>
      </c>
    </row>
    <row r="24" spans="1:7" x14ac:dyDescent="0.2">
      <c r="A24" s="2">
        <v>1186</v>
      </c>
      <c r="B24" s="3" t="s">
        <v>392</v>
      </c>
      <c r="C24" s="3" t="s">
        <v>17</v>
      </c>
      <c r="D24" t="s">
        <v>402</v>
      </c>
      <c r="E24" t="s">
        <v>56</v>
      </c>
      <c r="F24" t="s">
        <v>390</v>
      </c>
      <c r="G24" t="s">
        <v>390</v>
      </c>
    </row>
    <row r="25" spans="1:7" x14ac:dyDescent="0.2">
      <c r="A25" s="2">
        <v>1289</v>
      </c>
      <c r="B25" s="3" t="s">
        <v>392</v>
      </c>
      <c r="C25" s="3" t="s">
        <v>37</v>
      </c>
      <c r="D25" t="s">
        <v>391</v>
      </c>
      <c r="E25" t="s">
        <v>14</v>
      </c>
      <c r="F25" t="s">
        <v>24</v>
      </c>
      <c r="G25" t="s">
        <v>25</v>
      </c>
    </row>
    <row r="26" spans="1:7" x14ac:dyDescent="0.2">
      <c r="A26" s="2">
        <v>1713</v>
      </c>
      <c r="B26" s="3" t="s">
        <v>392</v>
      </c>
      <c r="C26" s="3" t="s">
        <v>63</v>
      </c>
      <c r="D26" t="s">
        <v>402</v>
      </c>
      <c r="E26" t="s">
        <v>28</v>
      </c>
      <c r="F26" t="s">
        <v>403</v>
      </c>
      <c r="G26" t="s">
        <v>42</v>
      </c>
    </row>
    <row r="27" spans="1:7" x14ac:dyDescent="0.2">
      <c r="A27" s="2">
        <v>1751</v>
      </c>
      <c r="B27" s="3" t="s">
        <v>392</v>
      </c>
      <c r="C27" s="3" t="s">
        <v>33</v>
      </c>
      <c r="D27" t="s">
        <v>148</v>
      </c>
      <c r="E27" t="s">
        <v>21</v>
      </c>
      <c r="F27" t="s">
        <v>130</v>
      </c>
      <c r="G27" t="s">
        <v>23</v>
      </c>
    </row>
    <row r="28" spans="1:7" x14ac:dyDescent="0.2">
      <c r="A28" s="2">
        <v>1758</v>
      </c>
      <c r="B28" s="3" t="s">
        <v>397</v>
      </c>
      <c r="C28" s="3" t="s">
        <v>148</v>
      </c>
      <c r="D28" t="s">
        <v>402</v>
      </c>
      <c r="E28" t="s">
        <v>56</v>
      </c>
      <c r="F28" t="s">
        <v>124</v>
      </c>
      <c r="G28" t="s">
        <v>23</v>
      </c>
    </row>
    <row r="29" spans="1:7" x14ac:dyDescent="0.2">
      <c r="A29" s="2">
        <v>1844</v>
      </c>
      <c r="B29" s="3" t="s">
        <v>397</v>
      </c>
      <c r="C29" s="3" t="s">
        <v>37</v>
      </c>
      <c r="D29" t="s">
        <v>391</v>
      </c>
      <c r="E29" t="s">
        <v>28</v>
      </c>
      <c r="F29" t="s">
        <v>78</v>
      </c>
      <c r="G29" t="s">
        <v>411</v>
      </c>
    </row>
    <row r="30" spans="1:7" x14ac:dyDescent="0.2">
      <c r="A30" s="2">
        <v>1854</v>
      </c>
      <c r="B30" s="3" t="s">
        <v>381</v>
      </c>
      <c r="C30" s="3" t="s">
        <v>17</v>
      </c>
      <c r="D30" t="s">
        <v>148</v>
      </c>
      <c r="E30" t="s">
        <v>21</v>
      </c>
      <c r="F30" t="s">
        <v>412</v>
      </c>
      <c r="G30" t="s">
        <v>413</v>
      </c>
    </row>
    <row r="31" spans="1:7" x14ac:dyDescent="0.2">
      <c r="A31" s="3">
        <v>1915</v>
      </c>
      <c r="B31" s="3" t="s">
        <v>397</v>
      </c>
      <c r="C31" s="3" t="s">
        <v>17</v>
      </c>
      <c r="D31" s="3" t="s">
        <v>391</v>
      </c>
      <c r="E31" s="3" t="s">
        <v>14</v>
      </c>
      <c r="F31" s="3" t="s">
        <v>78</v>
      </c>
      <c r="G31" s="3" t="s">
        <v>414</v>
      </c>
    </row>
    <row r="32" spans="1:7" x14ac:dyDescent="0.2">
      <c r="A32" s="2">
        <v>1943</v>
      </c>
      <c r="B32" s="3" t="s">
        <v>382</v>
      </c>
      <c r="C32" s="3" t="s">
        <v>37</v>
      </c>
      <c r="D32" t="s">
        <v>391</v>
      </c>
      <c r="E32" t="s">
        <v>21</v>
      </c>
      <c r="F32" t="s">
        <v>57</v>
      </c>
      <c r="G32" t="s">
        <v>30</v>
      </c>
    </row>
    <row r="33" spans="1:7" x14ac:dyDescent="0.2">
      <c r="A33" s="2">
        <v>1947</v>
      </c>
      <c r="B33" s="3" t="s">
        <v>382</v>
      </c>
      <c r="C33" s="3" t="s">
        <v>37</v>
      </c>
      <c r="D33" t="s">
        <v>391</v>
      </c>
      <c r="E33" t="s">
        <v>21</v>
      </c>
      <c r="F33" t="s">
        <v>57</v>
      </c>
      <c r="G33" t="s">
        <v>30</v>
      </c>
    </row>
    <row r="34" spans="1:7" x14ac:dyDescent="0.2">
      <c r="A34" s="2">
        <v>1955</v>
      </c>
      <c r="B34" s="3" t="s">
        <v>382</v>
      </c>
      <c r="C34" s="3" t="s">
        <v>37</v>
      </c>
      <c r="D34" t="s">
        <v>391</v>
      </c>
      <c r="E34" t="s">
        <v>14</v>
      </c>
      <c r="F34" t="s">
        <v>78</v>
      </c>
      <c r="G34" t="s">
        <v>30</v>
      </c>
    </row>
    <row r="35" spans="1:7" x14ac:dyDescent="0.2">
      <c r="A35">
        <v>1975</v>
      </c>
      <c r="B35" t="s">
        <v>392</v>
      </c>
      <c r="C35" t="s">
        <v>26</v>
      </c>
      <c r="D35" t="s">
        <v>391</v>
      </c>
      <c r="E35" t="s">
        <v>44</v>
      </c>
      <c r="F35" t="s">
        <v>68</v>
      </c>
      <c r="G35" t="s">
        <v>42</v>
      </c>
    </row>
    <row r="36" spans="1:7" x14ac:dyDescent="0.2">
      <c r="A36" s="2">
        <v>1983</v>
      </c>
      <c r="B36" s="3" t="s">
        <v>381</v>
      </c>
      <c r="C36" s="3" t="s">
        <v>17</v>
      </c>
      <c r="D36" t="s">
        <v>402</v>
      </c>
      <c r="E36" t="s">
        <v>56</v>
      </c>
      <c r="F36" t="s">
        <v>106</v>
      </c>
      <c r="G36" t="s">
        <v>42</v>
      </c>
    </row>
    <row r="37" spans="1:7" x14ac:dyDescent="0.2">
      <c r="A37" s="2">
        <v>2000</v>
      </c>
      <c r="B37" s="3" t="s">
        <v>381</v>
      </c>
      <c r="C37" s="3" t="s">
        <v>17</v>
      </c>
      <c r="D37" t="s">
        <v>402</v>
      </c>
      <c r="E37" t="s">
        <v>56</v>
      </c>
      <c r="F37" t="s">
        <v>80</v>
      </c>
      <c r="G37" t="s">
        <v>23</v>
      </c>
    </row>
    <row r="38" spans="1:7" x14ac:dyDescent="0.2">
      <c r="A38" s="2">
        <v>2012</v>
      </c>
      <c r="B38" s="3" t="s">
        <v>392</v>
      </c>
      <c r="C38" s="3" t="s">
        <v>33</v>
      </c>
      <c r="D38" t="s">
        <v>148</v>
      </c>
      <c r="E38" t="s">
        <v>21</v>
      </c>
      <c r="F38" t="s">
        <v>49</v>
      </c>
      <c r="G38" t="s">
        <v>415</v>
      </c>
    </row>
    <row r="39" spans="1:7" x14ac:dyDescent="0.2">
      <c r="A39" s="2">
        <v>2086</v>
      </c>
      <c r="B39" s="3" t="s">
        <v>382</v>
      </c>
      <c r="C39" s="3" t="s">
        <v>37</v>
      </c>
      <c r="D39" t="s">
        <v>391</v>
      </c>
      <c r="E39" t="s">
        <v>28</v>
      </c>
      <c r="F39" t="s">
        <v>323</v>
      </c>
      <c r="G39" t="s">
        <v>25</v>
      </c>
    </row>
    <row r="40" spans="1:7" x14ac:dyDescent="0.2">
      <c r="A40" s="2">
        <v>2180</v>
      </c>
      <c r="B40" s="3" t="s">
        <v>397</v>
      </c>
      <c r="C40" s="3" t="s">
        <v>148</v>
      </c>
      <c r="D40" t="s">
        <v>402</v>
      </c>
      <c r="E40" t="s">
        <v>28</v>
      </c>
      <c r="F40" t="s">
        <v>45</v>
      </c>
      <c r="G40" t="s">
        <v>42</v>
      </c>
    </row>
    <row r="41" spans="1:7" x14ac:dyDescent="0.2">
      <c r="A41" s="2">
        <v>2192</v>
      </c>
      <c r="B41" s="3" t="s">
        <v>392</v>
      </c>
      <c r="C41" s="3" t="s">
        <v>17</v>
      </c>
      <c r="D41" t="s">
        <v>402</v>
      </c>
      <c r="E41" t="s">
        <v>56</v>
      </c>
      <c r="F41" t="s">
        <v>390</v>
      </c>
      <c r="G41" t="s">
        <v>390</v>
      </c>
    </row>
    <row r="42" spans="1:7" x14ac:dyDescent="0.2">
      <c r="A42" s="2">
        <v>2197</v>
      </c>
      <c r="B42" s="3" t="s">
        <v>392</v>
      </c>
      <c r="C42" s="3" t="s">
        <v>416</v>
      </c>
      <c r="D42" t="s">
        <v>402</v>
      </c>
      <c r="E42" t="s">
        <v>21</v>
      </c>
      <c r="F42" t="s">
        <v>412</v>
      </c>
      <c r="G42" t="s">
        <v>413</v>
      </c>
    </row>
    <row r="43" spans="1:7" x14ac:dyDescent="0.2">
      <c r="A43" s="2">
        <v>2219</v>
      </c>
      <c r="B43" s="3" t="s">
        <v>381</v>
      </c>
      <c r="C43" s="3" t="s">
        <v>17</v>
      </c>
      <c r="D43" t="s">
        <v>391</v>
      </c>
      <c r="E43" t="s">
        <v>21</v>
      </c>
      <c r="F43" t="s">
        <v>49</v>
      </c>
      <c r="G43" t="s">
        <v>415</v>
      </c>
    </row>
    <row r="44" spans="1:7" x14ac:dyDescent="0.2">
      <c r="A44" s="2">
        <v>2241</v>
      </c>
      <c r="B44" s="3" t="s">
        <v>397</v>
      </c>
      <c r="C44" s="3" t="s">
        <v>148</v>
      </c>
      <c r="D44" t="s">
        <v>391</v>
      </c>
      <c r="E44" t="s">
        <v>28</v>
      </c>
      <c r="F44" t="s">
        <v>78</v>
      </c>
      <c r="G44" t="s">
        <v>30</v>
      </c>
    </row>
    <row r="45" spans="1:7" x14ac:dyDescent="0.2">
      <c r="A45" s="2">
        <v>2292</v>
      </c>
      <c r="B45" s="3" t="s">
        <v>382</v>
      </c>
      <c r="C45" s="3" t="s">
        <v>17</v>
      </c>
      <c r="D45" t="s">
        <v>148</v>
      </c>
      <c r="E45" t="s">
        <v>14</v>
      </c>
      <c r="F45" t="s">
        <v>412</v>
      </c>
      <c r="G45" t="s">
        <v>413</v>
      </c>
    </row>
    <row r="46" spans="1:7" x14ac:dyDescent="0.2">
      <c r="A46" s="2">
        <v>2307</v>
      </c>
      <c r="B46" s="3" t="s">
        <v>382</v>
      </c>
      <c r="C46" s="3" t="s">
        <v>37</v>
      </c>
      <c r="D46" t="s">
        <v>391</v>
      </c>
      <c r="E46" t="s">
        <v>14</v>
      </c>
      <c r="F46" t="s">
        <v>49</v>
      </c>
      <c r="G46" t="s">
        <v>415</v>
      </c>
    </row>
    <row r="47" spans="1:7" x14ac:dyDescent="0.2">
      <c r="A47" s="2">
        <v>2326</v>
      </c>
      <c r="B47" s="3" t="s">
        <v>392</v>
      </c>
      <c r="C47" s="3" t="s">
        <v>37</v>
      </c>
      <c r="D47" t="s">
        <v>391</v>
      </c>
      <c r="E47" t="s">
        <v>14</v>
      </c>
      <c r="F47" t="s">
        <v>24</v>
      </c>
      <c r="G47" t="s">
        <v>25</v>
      </c>
    </row>
    <row r="48" spans="1:7" x14ac:dyDescent="0.2">
      <c r="A48" s="2">
        <v>2335</v>
      </c>
      <c r="B48" s="3" t="s">
        <v>382</v>
      </c>
      <c r="C48" s="3" t="s">
        <v>83</v>
      </c>
      <c r="D48" t="s">
        <v>402</v>
      </c>
      <c r="E48" t="s">
        <v>21</v>
      </c>
      <c r="F48" t="s">
        <v>61</v>
      </c>
      <c r="G48" t="s">
        <v>30</v>
      </c>
    </row>
    <row r="49" spans="1:7" x14ac:dyDescent="0.2">
      <c r="A49" s="2">
        <v>2343</v>
      </c>
      <c r="B49" s="3" t="s">
        <v>381</v>
      </c>
      <c r="C49" s="3" t="s">
        <v>17</v>
      </c>
      <c r="D49" t="s">
        <v>391</v>
      </c>
      <c r="E49" t="s">
        <v>21</v>
      </c>
      <c r="F49" t="s">
        <v>412</v>
      </c>
      <c r="G49" t="s">
        <v>413</v>
      </c>
    </row>
    <row r="50" spans="1:7" x14ac:dyDescent="0.2">
      <c r="A50" s="2">
        <v>2448</v>
      </c>
      <c r="B50" s="3" t="s">
        <v>392</v>
      </c>
      <c r="C50" s="3" t="s">
        <v>37</v>
      </c>
      <c r="D50" t="s">
        <v>391</v>
      </c>
      <c r="E50" t="s">
        <v>56</v>
      </c>
      <c r="F50" t="s">
        <v>24</v>
      </c>
      <c r="G50" t="s">
        <v>25</v>
      </c>
    </row>
    <row r="51" spans="1:7" x14ac:dyDescent="0.2">
      <c r="A51" s="2">
        <v>2480</v>
      </c>
      <c r="B51" s="3" t="s">
        <v>392</v>
      </c>
      <c r="C51" s="3" t="s">
        <v>17</v>
      </c>
      <c r="D51" t="s">
        <v>391</v>
      </c>
      <c r="E51" t="s">
        <v>14</v>
      </c>
      <c r="F51" t="s">
        <v>412</v>
      </c>
      <c r="G51" t="s">
        <v>413</v>
      </c>
    </row>
    <row r="52" spans="1:7" x14ac:dyDescent="0.2">
      <c r="A52" s="2">
        <v>2483</v>
      </c>
      <c r="B52" s="3" t="s">
        <v>392</v>
      </c>
      <c r="C52" s="3" t="s">
        <v>33</v>
      </c>
      <c r="D52" t="s">
        <v>148</v>
      </c>
      <c r="E52" t="s">
        <v>56</v>
      </c>
      <c r="F52" t="s">
        <v>49</v>
      </c>
      <c r="G52" t="s">
        <v>415</v>
      </c>
    </row>
    <row r="53" spans="1:7" x14ac:dyDescent="0.2">
      <c r="A53" s="2">
        <v>2508</v>
      </c>
      <c r="B53" s="3" t="s">
        <v>382</v>
      </c>
      <c r="C53" s="3" t="s">
        <v>37</v>
      </c>
      <c r="D53" t="s">
        <v>391</v>
      </c>
      <c r="E53" t="s">
        <v>21</v>
      </c>
      <c r="F53" t="s">
        <v>57</v>
      </c>
      <c r="G53" t="s">
        <v>30</v>
      </c>
    </row>
    <row r="54" spans="1:7" x14ac:dyDescent="0.2">
      <c r="A54" s="2">
        <v>2522</v>
      </c>
      <c r="B54" s="3" t="s">
        <v>392</v>
      </c>
      <c r="C54" s="3" t="s">
        <v>37</v>
      </c>
      <c r="D54" t="s">
        <v>391</v>
      </c>
      <c r="E54" t="s">
        <v>28</v>
      </c>
      <c r="F54" t="s">
        <v>78</v>
      </c>
      <c r="G54" t="s">
        <v>30</v>
      </c>
    </row>
    <row r="55" spans="1:7" x14ac:dyDescent="0.2">
      <c r="A55" s="2">
        <v>2534</v>
      </c>
      <c r="B55" s="3" t="s">
        <v>381</v>
      </c>
      <c r="C55" s="3" t="s">
        <v>416</v>
      </c>
      <c r="D55" t="s">
        <v>419</v>
      </c>
      <c r="E55" t="s">
        <v>56</v>
      </c>
      <c r="F55" t="s">
        <v>412</v>
      </c>
      <c r="G55" t="s">
        <v>413</v>
      </c>
    </row>
    <row r="56" spans="1:7" x14ac:dyDescent="0.2">
      <c r="A56" s="2">
        <v>2747</v>
      </c>
      <c r="B56" s="3" t="s">
        <v>382</v>
      </c>
      <c r="C56" s="3" t="s">
        <v>17</v>
      </c>
      <c r="D56" t="s">
        <v>402</v>
      </c>
      <c r="E56" t="s">
        <v>21</v>
      </c>
      <c r="F56" t="s">
        <v>45</v>
      </c>
      <c r="G56" t="s">
        <v>401</v>
      </c>
    </row>
    <row r="57" spans="1:7" x14ac:dyDescent="0.2">
      <c r="A57" s="2">
        <v>2782</v>
      </c>
      <c r="B57" s="3" t="s">
        <v>397</v>
      </c>
      <c r="C57" s="3" t="s">
        <v>33</v>
      </c>
      <c r="D57" t="s">
        <v>148</v>
      </c>
      <c r="E57" t="s">
        <v>56</v>
      </c>
      <c r="F57" t="s">
        <v>130</v>
      </c>
      <c r="G57" t="s">
        <v>23</v>
      </c>
    </row>
    <row r="58" spans="1:7" x14ac:dyDescent="0.2">
      <c r="A58" s="2">
        <v>2814</v>
      </c>
      <c r="B58" s="3" t="s">
        <v>381</v>
      </c>
      <c r="C58" s="3" t="s">
        <v>416</v>
      </c>
      <c r="D58" t="s">
        <v>148</v>
      </c>
      <c r="E58" t="s">
        <v>56</v>
      </c>
      <c r="F58" t="s">
        <v>412</v>
      </c>
      <c r="G58" t="s">
        <v>413</v>
      </c>
    </row>
    <row r="59" spans="1:7" x14ac:dyDescent="0.2">
      <c r="A59" s="2">
        <v>2838</v>
      </c>
      <c r="B59" s="3" t="s">
        <v>382</v>
      </c>
      <c r="C59" s="3" t="s">
        <v>37</v>
      </c>
      <c r="D59" t="s">
        <v>402</v>
      </c>
      <c r="E59" t="s">
        <v>21</v>
      </c>
      <c r="F59" t="s">
        <v>82</v>
      </c>
      <c r="G59" t="s">
        <v>401</v>
      </c>
    </row>
    <row r="60" spans="1:7" x14ac:dyDescent="0.2">
      <c r="A60" s="3">
        <v>2889</v>
      </c>
      <c r="B60" s="3" t="s">
        <v>397</v>
      </c>
      <c r="C60" s="3" t="s">
        <v>17</v>
      </c>
      <c r="D60" s="3" t="s">
        <v>391</v>
      </c>
      <c r="E60" s="3" t="s">
        <v>56</v>
      </c>
      <c r="F60" s="3" t="s">
        <v>390</v>
      </c>
      <c r="G60" s="3" t="s">
        <v>390</v>
      </c>
    </row>
    <row r="61" spans="1:7" x14ac:dyDescent="0.2">
      <c r="A61" s="3">
        <v>2910</v>
      </c>
      <c r="B61" s="3" t="s">
        <v>392</v>
      </c>
      <c r="C61" s="3" t="s">
        <v>148</v>
      </c>
      <c r="D61" s="3" t="s">
        <v>420</v>
      </c>
      <c r="E61" s="3" t="s">
        <v>21</v>
      </c>
      <c r="F61" s="3" t="s">
        <v>390</v>
      </c>
      <c r="G61" s="3" t="s">
        <v>390</v>
      </c>
    </row>
    <row r="62" spans="1:7" x14ac:dyDescent="0.2">
      <c r="A62" s="3">
        <v>2911</v>
      </c>
      <c r="B62" s="3" t="s">
        <v>397</v>
      </c>
      <c r="C62" s="3" t="s">
        <v>17</v>
      </c>
      <c r="D62" s="3" t="s">
        <v>391</v>
      </c>
      <c r="E62" s="3" t="s">
        <v>14</v>
      </c>
      <c r="F62" s="3" t="s">
        <v>390</v>
      </c>
      <c r="G62" s="3" t="s">
        <v>390</v>
      </c>
    </row>
    <row r="63" spans="1:7" x14ac:dyDescent="0.2">
      <c r="A63" s="3">
        <v>2917</v>
      </c>
      <c r="B63" s="3" t="s">
        <v>397</v>
      </c>
      <c r="C63" s="3" t="s">
        <v>17</v>
      </c>
      <c r="D63" s="3" t="s">
        <v>391</v>
      </c>
      <c r="E63" s="3" t="s">
        <v>56</v>
      </c>
      <c r="F63" s="3" t="s">
        <v>49</v>
      </c>
      <c r="G63" s="3" t="s">
        <v>16</v>
      </c>
    </row>
    <row r="64" spans="1:7" x14ac:dyDescent="0.2">
      <c r="A64" s="3">
        <v>2920</v>
      </c>
      <c r="B64" s="3" t="s">
        <v>397</v>
      </c>
      <c r="C64" s="3" t="s">
        <v>17</v>
      </c>
      <c r="D64" s="3" t="s">
        <v>391</v>
      </c>
      <c r="E64" s="3" t="s">
        <v>21</v>
      </c>
      <c r="F64" s="3" t="s">
        <v>73</v>
      </c>
      <c r="G64" s="3" t="s">
        <v>421</v>
      </c>
    </row>
    <row r="65" spans="1:7" x14ac:dyDescent="0.2">
      <c r="A65" s="3">
        <v>2931</v>
      </c>
      <c r="B65" s="3" t="s">
        <v>397</v>
      </c>
      <c r="C65" s="3" t="s">
        <v>17</v>
      </c>
      <c r="D65" s="3" t="s">
        <v>391</v>
      </c>
      <c r="E65" s="3" t="s">
        <v>14</v>
      </c>
      <c r="F65" s="3" t="s">
        <v>390</v>
      </c>
      <c r="G65" s="3" t="s">
        <v>390</v>
      </c>
    </row>
    <row r="66" spans="1:7" x14ac:dyDescent="0.2">
      <c r="A66" s="3">
        <v>2937</v>
      </c>
      <c r="B66" s="3" t="s">
        <v>397</v>
      </c>
      <c r="C66" s="3" t="s">
        <v>17</v>
      </c>
      <c r="D66" s="3" t="s">
        <v>391</v>
      </c>
      <c r="E66" s="3" t="s">
        <v>21</v>
      </c>
      <c r="F66" s="3" t="s">
        <v>65</v>
      </c>
      <c r="G66" s="3" t="s">
        <v>51</v>
      </c>
    </row>
    <row r="67" spans="1:7" x14ac:dyDescent="0.2">
      <c r="A67" s="3">
        <v>2941</v>
      </c>
      <c r="B67" s="3" t="s">
        <v>397</v>
      </c>
      <c r="C67" s="3" t="s">
        <v>17</v>
      </c>
      <c r="D67" s="3" t="s">
        <v>391</v>
      </c>
      <c r="E67" s="3" t="s">
        <v>14</v>
      </c>
      <c r="F67" s="3" t="s">
        <v>390</v>
      </c>
      <c r="G67" s="3" t="s">
        <v>390</v>
      </c>
    </row>
    <row r="68" spans="1:7" x14ac:dyDescent="0.2">
      <c r="A68" s="3">
        <v>2967</v>
      </c>
      <c r="B68" s="3" t="s">
        <v>381</v>
      </c>
      <c r="C68" s="3" t="s">
        <v>17</v>
      </c>
      <c r="D68" s="3" t="s">
        <v>391</v>
      </c>
      <c r="E68" s="3" t="s">
        <v>21</v>
      </c>
      <c r="F68" s="3" t="s">
        <v>65</v>
      </c>
      <c r="G68" s="3" t="s">
        <v>422</v>
      </c>
    </row>
    <row r="69" spans="1:7" x14ac:dyDescent="0.2">
      <c r="A69" s="3">
        <v>2969</v>
      </c>
      <c r="B69" s="3" t="s">
        <v>397</v>
      </c>
      <c r="C69" s="3" t="s">
        <v>17</v>
      </c>
      <c r="D69" s="3" t="s">
        <v>391</v>
      </c>
      <c r="E69" s="3" t="s">
        <v>21</v>
      </c>
      <c r="F69" s="3" t="s">
        <v>423</v>
      </c>
      <c r="G69" s="3" t="s">
        <v>23</v>
      </c>
    </row>
    <row r="70" spans="1:7" x14ac:dyDescent="0.2">
      <c r="A70" s="3">
        <v>3146</v>
      </c>
      <c r="B70" s="3" t="s">
        <v>382</v>
      </c>
      <c r="C70" s="3" t="s">
        <v>17</v>
      </c>
      <c r="D70" s="3" t="s">
        <v>391</v>
      </c>
      <c r="E70" s="3" t="s">
        <v>14</v>
      </c>
      <c r="F70" s="3" t="s">
        <v>390</v>
      </c>
      <c r="G70" s="3" t="s">
        <v>390</v>
      </c>
    </row>
    <row r="71" spans="1:7" x14ac:dyDescent="0.2">
      <c r="A71" s="3">
        <v>3159</v>
      </c>
      <c r="B71" s="3" t="s">
        <v>397</v>
      </c>
      <c r="C71" s="3" t="s">
        <v>33</v>
      </c>
      <c r="D71" s="3" t="s">
        <v>402</v>
      </c>
      <c r="E71" s="3" t="s">
        <v>21</v>
      </c>
      <c r="F71" s="3" t="s">
        <v>50</v>
      </c>
      <c r="G71" s="3" t="s">
        <v>51</v>
      </c>
    </row>
    <row r="72" spans="1:7" x14ac:dyDescent="0.2">
      <c r="A72" s="3">
        <v>3193</v>
      </c>
      <c r="B72" s="3" t="s">
        <v>382</v>
      </c>
      <c r="C72" s="3" t="s">
        <v>17</v>
      </c>
      <c r="D72" s="3" t="s">
        <v>391</v>
      </c>
      <c r="E72" s="3" t="s">
        <v>21</v>
      </c>
      <c r="F72" s="3" t="s">
        <v>24</v>
      </c>
      <c r="G72" s="3" t="s">
        <v>25</v>
      </c>
    </row>
    <row r="73" spans="1:7" x14ac:dyDescent="0.2">
      <c r="A73" s="3">
        <v>3227</v>
      </c>
      <c r="B73" s="3" t="s">
        <v>382</v>
      </c>
      <c r="C73" s="3" t="s">
        <v>37</v>
      </c>
      <c r="D73" s="3" t="s">
        <v>390</v>
      </c>
      <c r="E73" s="3" t="s">
        <v>28</v>
      </c>
      <c r="F73" s="3" t="s">
        <v>15</v>
      </c>
      <c r="G73" s="3" t="s">
        <v>16</v>
      </c>
    </row>
    <row r="74" spans="1:7" x14ac:dyDescent="0.2">
      <c r="A74" s="3">
        <v>3253</v>
      </c>
      <c r="B74" s="3" t="s">
        <v>392</v>
      </c>
      <c r="C74" s="3" t="s">
        <v>148</v>
      </c>
      <c r="D74" s="3" t="s">
        <v>148</v>
      </c>
      <c r="E74" s="3" t="s">
        <v>28</v>
      </c>
      <c r="F74" s="3" t="s">
        <v>69</v>
      </c>
      <c r="G74" s="3" t="s">
        <v>30</v>
      </c>
    </row>
    <row r="75" spans="1:7" x14ac:dyDescent="0.2">
      <c r="A75" s="3">
        <v>3273</v>
      </c>
      <c r="B75" s="3" t="s">
        <v>397</v>
      </c>
      <c r="C75" s="3" t="s">
        <v>33</v>
      </c>
      <c r="D75" s="3" t="s">
        <v>404</v>
      </c>
      <c r="E75" s="3" t="s">
        <v>28</v>
      </c>
      <c r="F75" s="3" t="s">
        <v>50</v>
      </c>
      <c r="G75" s="3" t="s">
        <v>422</v>
      </c>
    </row>
    <row r="76" spans="1:7" x14ac:dyDescent="0.2">
      <c r="A76" s="3">
        <v>3279</v>
      </c>
      <c r="B76" s="3" t="s">
        <v>397</v>
      </c>
      <c r="C76" s="3" t="s">
        <v>33</v>
      </c>
      <c r="D76" s="3" t="s">
        <v>402</v>
      </c>
      <c r="E76" s="3" t="s">
        <v>28</v>
      </c>
      <c r="F76" s="3" t="s">
        <v>50</v>
      </c>
      <c r="G76" s="3" t="s">
        <v>51</v>
      </c>
    </row>
    <row r="77" spans="1:7" x14ac:dyDescent="0.2">
      <c r="A77" s="3">
        <v>3280</v>
      </c>
      <c r="B77" s="3" t="s">
        <v>397</v>
      </c>
      <c r="C77" s="3" t="s">
        <v>33</v>
      </c>
      <c r="D77" s="3" t="s">
        <v>402</v>
      </c>
      <c r="E77" s="3" t="s">
        <v>28</v>
      </c>
      <c r="F77" s="3" t="s">
        <v>50</v>
      </c>
      <c r="G77" s="3" t="s">
        <v>51</v>
      </c>
    </row>
    <row r="78" spans="1:7" x14ac:dyDescent="0.2">
      <c r="A78" s="3">
        <v>3329</v>
      </c>
      <c r="B78" s="3" t="s">
        <v>381</v>
      </c>
      <c r="C78" s="3" t="s">
        <v>55</v>
      </c>
      <c r="D78" s="3" t="s">
        <v>391</v>
      </c>
      <c r="E78" s="3" t="s">
        <v>21</v>
      </c>
      <c r="F78" s="3" t="s">
        <v>73</v>
      </c>
      <c r="G78" s="3" t="s">
        <v>25</v>
      </c>
    </row>
    <row r="79" spans="1:7" x14ac:dyDescent="0.2">
      <c r="A79" s="3">
        <v>3333</v>
      </c>
      <c r="B79" s="3" t="s">
        <v>381</v>
      </c>
      <c r="C79" s="3" t="s">
        <v>55</v>
      </c>
      <c r="D79" s="3" t="s">
        <v>402</v>
      </c>
      <c r="E79" s="3" t="s">
        <v>21</v>
      </c>
      <c r="F79" s="3" t="s">
        <v>82</v>
      </c>
      <c r="G79" s="3" t="s">
        <v>51</v>
      </c>
    </row>
    <row r="80" spans="1:7" x14ac:dyDescent="0.2">
      <c r="A80" s="3">
        <v>3346</v>
      </c>
      <c r="B80" s="3" t="s">
        <v>382</v>
      </c>
      <c r="C80" s="3" t="s">
        <v>26</v>
      </c>
      <c r="D80" s="3" t="s">
        <v>391</v>
      </c>
      <c r="E80" s="3" t="s">
        <v>21</v>
      </c>
      <c r="F80" s="3" t="s">
        <v>61</v>
      </c>
      <c r="G80" s="3" t="s">
        <v>30</v>
      </c>
    </row>
    <row r="81" spans="1:7" x14ac:dyDescent="0.2">
      <c r="A81" s="2">
        <v>3377</v>
      </c>
      <c r="B81" s="3" t="s">
        <v>392</v>
      </c>
      <c r="C81" s="3" t="s">
        <v>63</v>
      </c>
      <c r="D81" t="s">
        <v>404</v>
      </c>
      <c r="E81" t="s">
        <v>14</v>
      </c>
      <c r="F81" t="s">
        <v>82</v>
      </c>
      <c r="G81" t="s">
        <v>401</v>
      </c>
    </row>
    <row r="82" spans="1:7" x14ac:dyDescent="0.2">
      <c r="A82" s="3">
        <v>3504</v>
      </c>
      <c r="B82" s="3" t="s">
        <v>397</v>
      </c>
      <c r="C82" s="3" t="s">
        <v>33</v>
      </c>
      <c r="D82" s="3" t="s">
        <v>402</v>
      </c>
      <c r="E82" s="3" t="s">
        <v>14</v>
      </c>
      <c r="F82" s="3" t="s">
        <v>61</v>
      </c>
      <c r="G82" s="3" t="s">
        <v>30</v>
      </c>
    </row>
    <row r="83" spans="1:7" x14ac:dyDescent="0.2">
      <c r="A83" s="3">
        <v>3570</v>
      </c>
      <c r="B83" s="3" t="s">
        <v>381</v>
      </c>
      <c r="C83" s="3" t="s">
        <v>39</v>
      </c>
      <c r="D83" s="3" t="s">
        <v>391</v>
      </c>
      <c r="E83" s="3" t="s">
        <v>76</v>
      </c>
      <c r="F83" s="3" t="s">
        <v>29</v>
      </c>
      <c r="G83" s="3" t="s">
        <v>414</v>
      </c>
    </row>
    <row r="84" spans="1:7" x14ac:dyDescent="0.2">
      <c r="A84" s="3">
        <v>3637</v>
      </c>
      <c r="B84" s="3" t="s">
        <v>382</v>
      </c>
      <c r="C84" s="3" t="s">
        <v>83</v>
      </c>
      <c r="D84" s="3" t="s">
        <v>391</v>
      </c>
      <c r="E84" s="3" t="s">
        <v>44</v>
      </c>
      <c r="F84" s="3" t="s">
        <v>61</v>
      </c>
      <c r="G84" s="3" t="s">
        <v>30</v>
      </c>
    </row>
    <row r="85" spans="1:7" x14ac:dyDescent="0.2">
      <c r="A85" s="3">
        <v>3658</v>
      </c>
      <c r="B85" s="3" t="s">
        <v>392</v>
      </c>
      <c r="C85" s="3" t="s">
        <v>37</v>
      </c>
      <c r="D85" s="3" t="s">
        <v>391</v>
      </c>
      <c r="E85" s="3" t="s">
        <v>28</v>
      </c>
      <c r="F85" s="3" t="s">
        <v>29</v>
      </c>
      <c r="G85" s="3" t="s">
        <v>30</v>
      </c>
    </row>
    <row r="86" spans="1:7" x14ac:dyDescent="0.2">
      <c r="A86" s="3">
        <v>3675</v>
      </c>
      <c r="B86" s="3" t="s">
        <v>382</v>
      </c>
      <c r="C86" s="3" t="s">
        <v>39</v>
      </c>
      <c r="D86" s="3" t="s">
        <v>402</v>
      </c>
      <c r="E86" s="3" t="s">
        <v>390</v>
      </c>
      <c r="F86" s="3" t="s">
        <v>45</v>
      </c>
      <c r="G86" s="3" t="s">
        <v>42</v>
      </c>
    </row>
    <row r="87" spans="1:7" x14ac:dyDescent="0.2">
      <c r="A87" s="3">
        <v>3683</v>
      </c>
      <c r="B87" s="3" t="s">
        <v>392</v>
      </c>
      <c r="C87" s="3" t="s">
        <v>47</v>
      </c>
      <c r="D87" s="3" t="s">
        <v>402</v>
      </c>
      <c r="E87" s="3" t="s">
        <v>28</v>
      </c>
      <c r="F87" s="3" t="s">
        <v>45</v>
      </c>
      <c r="G87" s="3" t="s">
        <v>42</v>
      </c>
    </row>
    <row r="88" spans="1:7" x14ac:dyDescent="0.2">
      <c r="A88" s="3">
        <v>3747</v>
      </c>
      <c r="B88" s="3" t="s">
        <v>381</v>
      </c>
      <c r="C88" s="3" t="s">
        <v>37</v>
      </c>
      <c r="D88" s="3" t="s">
        <v>402</v>
      </c>
      <c r="E88" s="3" t="s">
        <v>21</v>
      </c>
      <c r="F88" s="3" t="s">
        <v>82</v>
      </c>
      <c r="G88" s="3" t="s">
        <v>51</v>
      </c>
    </row>
    <row r="89" spans="1:7" x14ac:dyDescent="0.2">
      <c r="A89" s="3">
        <v>3810</v>
      </c>
      <c r="B89" s="3" t="s">
        <v>392</v>
      </c>
      <c r="C89" s="3" t="s">
        <v>37</v>
      </c>
      <c r="D89" s="3" t="s">
        <v>402</v>
      </c>
      <c r="E89" s="3" t="s">
        <v>28</v>
      </c>
      <c r="F89" s="3" t="s">
        <v>61</v>
      </c>
      <c r="G89" s="3" t="s">
        <v>30</v>
      </c>
    </row>
    <row r="90" spans="1:7" x14ac:dyDescent="0.2">
      <c r="A90" s="3">
        <v>3857</v>
      </c>
      <c r="B90" s="3" t="s">
        <v>381</v>
      </c>
      <c r="C90" s="3" t="s">
        <v>55</v>
      </c>
      <c r="D90" s="3" t="s">
        <v>391</v>
      </c>
      <c r="E90" s="3" t="s">
        <v>21</v>
      </c>
      <c r="F90" s="3" t="s">
        <v>113</v>
      </c>
      <c r="G90" s="3" t="s">
        <v>42</v>
      </c>
    </row>
    <row r="91" spans="1:7" x14ac:dyDescent="0.2">
      <c r="A91" s="3">
        <v>3908</v>
      </c>
      <c r="B91" s="3" t="s">
        <v>392</v>
      </c>
      <c r="C91" s="3" t="s">
        <v>54</v>
      </c>
      <c r="D91" s="3" t="s">
        <v>391</v>
      </c>
      <c r="E91" s="3" t="s">
        <v>28</v>
      </c>
      <c r="F91" s="3" t="s">
        <v>49</v>
      </c>
      <c r="G91" s="3" t="s">
        <v>16</v>
      </c>
    </row>
    <row r="92" spans="1:7" x14ac:dyDescent="0.2">
      <c r="A92" s="3">
        <v>3959</v>
      </c>
      <c r="B92" s="3" t="s">
        <v>392</v>
      </c>
      <c r="C92" s="3" t="s">
        <v>33</v>
      </c>
      <c r="D92" s="3" t="s">
        <v>148</v>
      </c>
      <c r="E92" s="3" t="s">
        <v>21</v>
      </c>
      <c r="F92" s="3" t="s">
        <v>49</v>
      </c>
      <c r="G92" s="3" t="s">
        <v>16</v>
      </c>
    </row>
    <row r="93" spans="1:7" x14ac:dyDescent="0.2">
      <c r="A93" s="3">
        <v>3968</v>
      </c>
      <c r="B93" s="3" t="s">
        <v>382</v>
      </c>
      <c r="C93" s="3" t="s">
        <v>37</v>
      </c>
      <c r="D93" s="3" t="s">
        <v>391</v>
      </c>
      <c r="E93" s="3" t="s">
        <v>14</v>
      </c>
      <c r="F93" s="3" t="s">
        <v>129</v>
      </c>
      <c r="G93" s="3" t="s">
        <v>25</v>
      </c>
    </row>
    <row r="94" spans="1:7" x14ac:dyDescent="0.2">
      <c r="A94" s="3">
        <v>4054</v>
      </c>
      <c r="B94" s="3" t="s">
        <v>392</v>
      </c>
      <c r="C94" s="3" t="s">
        <v>17</v>
      </c>
      <c r="D94" s="3" t="s">
        <v>391</v>
      </c>
      <c r="E94" s="3" t="s">
        <v>28</v>
      </c>
      <c r="F94" s="3" t="s">
        <v>29</v>
      </c>
      <c r="G94" s="3" t="s">
        <v>30</v>
      </c>
    </row>
    <row r="95" spans="1:7" x14ac:dyDescent="0.2">
      <c r="A95" s="3">
        <v>4086</v>
      </c>
      <c r="B95" s="3" t="s">
        <v>381</v>
      </c>
      <c r="C95" s="3" t="s">
        <v>55</v>
      </c>
      <c r="D95" s="3" t="s">
        <v>391</v>
      </c>
      <c r="E95" s="3" t="s">
        <v>21</v>
      </c>
      <c r="F95" s="3" t="s">
        <v>121</v>
      </c>
      <c r="G95" s="3" t="s">
        <v>25</v>
      </c>
    </row>
    <row r="96" spans="1:7" x14ac:dyDescent="0.2">
      <c r="A96" s="3">
        <v>4136</v>
      </c>
      <c r="B96" s="3" t="s">
        <v>381</v>
      </c>
      <c r="C96" s="3" t="s">
        <v>39</v>
      </c>
      <c r="D96" s="3" t="s">
        <v>391</v>
      </c>
      <c r="E96" s="3" t="s">
        <v>21</v>
      </c>
      <c r="F96" s="3" t="s">
        <v>49</v>
      </c>
      <c r="G96" s="3" t="s">
        <v>16</v>
      </c>
    </row>
    <row r="97" spans="1:7" x14ac:dyDescent="0.2">
      <c r="A97" s="3">
        <v>4277</v>
      </c>
      <c r="B97" s="3" t="s">
        <v>397</v>
      </c>
      <c r="C97" s="3" t="s">
        <v>33</v>
      </c>
      <c r="D97" s="3" t="s">
        <v>402</v>
      </c>
      <c r="E97" s="3" t="s">
        <v>56</v>
      </c>
      <c r="F97" s="3" t="s">
        <v>45</v>
      </c>
      <c r="G97" s="3" t="s">
        <v>42</v>
      </c>
    </row>
    <row r="98" spans="1:7" x14ac:dyDescent="0.2">
      <c r="A98" s="3">
        <v>4280</v>
      </c>
      <c r="B98" s="3" t="s">
        <v>397</v>
      </c>
      <c r="C98" s="3" t="s">
        <v>33</v>
      </c>
      <c r="D98" s="3" t="s">
        <v>402</v>
      </c>
      <c r="E98" s="3" t="s">
        <v>56</v>
      </c>
      <c r="F98" s="3" t="s">
        <v>45</v>
      </c>
      <c r="G98" s="3" t="s">
        <v>42</v>
      </c>
    </row>
    <row r="99" spans="1:7" x14ac:dyDescent="0.2">
      <c r="A99" s="3">
        <v>4305</v>
      </c>
      <c r="B99" s="3" t="s">
        <v>392</v>
      </c>
      <c r="C99" s="3" t="s">
        <v>148</v>
      </c>
      <c r="D99" s="3" t="s">
        <v>148</v>
      </c>
      <c r="E99" s="3" t="s">
        <v>56</v>
      </c>
      <c r="F99" s="3" t="s">
        <v>124</v>
      </c>
      <c r="G99" s="3" t="s">
        <v>51</v>
      </c>
    </row>
    <row r="100" spans="1:7" x14ac:dyDescent="0.2">
      <c r="A100" s="2">
        <v>4335</v>
      </c>
      <c r="B100" s="3" t="s">
        <v>392</v>
      </c>
      <c r="C100" s="3" t="s">
        <v>37</v>
      </c>
      <c r="D100" t="s">
        <v>402</v>
      </c>
      <c r="E100" t="s">
        <v>28</v>
      </c>
      <c r="F100" t="s">
        <v>29</v>
      </c>
      <c r="G100" t="s">
        <v>30</v>
      </c>
    </row>
    <row r="101" spans="1:7" ht="16" x14ac:dyDescent="0.2">
      <c r="A101" s="3">
        <v>4379</v>
      </c>
      <c r="B101" s="3" t="s">
        <v>381</v>
      </c>
      <c r="C101" s="3" t="s">
        <v>55</v>
      </c>
      <c r="D101" s="3" t="s">
        <v>148</v>
      </c>
      <c r="E101" s="3" t="s">
        <v>21</v>
      </c>
      <c r="F101" s="4" t="s">
        <v>390</v>
      </c>
      <c r="G101" s="3" t="s">
        <v>23</v>
      </c>
    </row>
    <row r="102" spans="1:7" x14ac:dyDescent="0.2">
      <c r="A102" s="3">
        <v>4479</v>
      </c>
      <c r="B102" s="3" t="s">
        <v>397</v>
      </c>
      <c r="C102" s="3" t="s">
        <v>55</v>
      </c>
      <c r="D102" s="3" t="s">
        <v>148</v>
      </c>
      <c r="E102" s="3" t="s">
        <v>56</v>
      </c>
      <c r="F102" s="3" t="s">
        <v>85</v>
      </c>
      <c r="G102" s="3" t="s">
        <v>16</v>
      </c>
    </row>
    <row r="103" spans="1:7" x14ac:dyDescent="0.2">
      <c r="A103" s="3">
        <v>4533</v>
      </c>
      <c r="B103" s="3" t="s">
        <v>397</v>
      </c>
      <c r="C103" s="3" t="s">
        <v>37</v>
      </c>
      <c r="D103" s="3" t="s">
        <v>391</v>
      </c>
      <c r="E103" s="3" t="s">
        <v>28</v>
      </c>
      <c r="F103" s="3" t="s">
        <v>29</v>
      </c>
      <c r="G103" s="3" t="s">
        <v>30</v>
      </c>
    </row>
    <row r="104" spans="1:7" x14ac:dyDescent="0.2">
      <c r="A104" s="3">
        <v>4607</v>
      </c>
      <c r="B104" s="3" t="s">
        <v>382</v>
      </c>
      <c r="C104" s="3" t="s">
        <v>37</v>
      </c>
      <c r="D104" s="3" t="s">
        <v>402</v>
      </c>
      <c r="E104" s="3" t="s">
        <v>21</v>
      </c>
      <c r="F104" s="3" t="s">
        <v>50</v>
      </c>
      <c r="G104" s="3" t="s">
        <v>51</v>
      </c>
    </row>
    <row r="105" spans="1:7" x14ac:dyDescent="0.2">
      <c r="A105">
        <v>4653</v>
      </c>
      <c r="B105" t="s">
        <v>392</v>
      </c>
      <c r="C105" t="s">
        <v>37</v>
      </c>
      <c r="D105" t="s">
        <v>391</v>
      </c>
      <c r="E105" t="s">
        <v>28</v>
      </c>
      <c r="F105" t="s">
        <v>24</v>
      </c>
      <c r="G105" t="s">
        <v>25</v>
      </c>
    </row>
    <row r="106" spans="1:7" x14ac:dyDescent="0.2">
      <c r="A106" s="3">
        <v>4698</v>
      </c>
      <c r="B106" s="3" t="s">
        <v>381</v>
      </c>
      <c r="C106" s="3" t="s">
        <v>55</v>
      </c>
      <c r="D106" s="3" t="s">
        <v>391</v>
      </c>
      <c r="E106" s="3" t="s">
        <v>21</v>
      </c>
      <c r="F106" s="3" t="s">
        <v>22</v>
      </c>
      <c r="G106" s="3" t="s">
        <v>23</v>
      </c>
    </row>
    <row r="107" spans="1:7" x14ac:dyDescent="0.2">
      <c r="A107" s="3">
        <v>4699</v>
      </c>
      <c r="B107" s="3" t="s">
        <v>381</v>
      </c>
      <c r="C107" s="3" t="s">
        <v>55</v>
      </c>
      <c r="D107" s="3" t="s">
        <v>391</v>
      </c>
      <c r="E107" s="3" t="s">
        <v>21</v>
      </c>
      <c r="F107" s="3" t="s">
        <v>22</v>
      </c>
      <c r="G107" s="3" t="s">
        <v>23</v>
      </c>
    </row>
    <row r="108" spans="1:7" x14ac:dyDescent="0.2">
      <c r="A108" s="3">
        <v>4744</v>
      </c>
      <c r="B108" s="3" t="s">
        <v>397</v>
      </c>
      <c r="C108" s="3" t="s">
        <v>33</v>
      </c>
      <c r="D108" s="3" t="s">
        <v>402</v>
      </c>
      <c r="E108" s="3" t="s">
        <v>21</v>
      </c>
      <c r="F108" s="3" t="s">
        <v>45</v>
      </c>
      <c r="G108" s="3" t="s">
        <v>42</v>
      </c>
    </row>
    <row r="109" spans="1:7" x14ac:dyDescent="0.2">
      <c r="A109" s="3">
        <v>4745</v>
      </c>
      <c r="B109" s="3" t="s">
        <v>397</v>
      </c>
      <c r="C109" s="3" t="s">
        <v>33</v>
      </c>
      <c r="D109" s="3" t="s">
        <v>402</v>
      </c>
      <c r="E109" s="3" t="s">
        <v>21</v>
      </c>
      <c r="F109" s="3" t="s">
        <v>45</v>
      </c>
      <c r="G109" s="3" t="s">
        <v>42</v>
      </c>
    </row>
    <row r="110" spans="1:7" x14ac:dyDescent="0.2">
      <c r="A110" s="3">
        <v>4750</v>
      </c>
      <c r="B110" s="3" t="s">
        <v>392</v>
      </c>
      <c r="C110" s="3" t="s">
        <v>83</v>
      </c>
      <c r="D110" s="3" t="s">
        <v>402</v>
      </c>
      <c r="E110" s="3" t="s">
        <v>44</v>
      </c>
      <c r="F110" s="3" t="s">
        <v>61</v>
      </c>
      <c r="G110" s="3" t="s">
        <v>30</v>
      </c>
    </row>
    <row r="111" spans="1:7" x14ac:dyDescent="0.2">
      <c r="A111" s="3">
        <v>4838</v>
      </c>
      <c r="B111" s="3" t="s">
        <v>392</v>
      </c>
      <c r="C111" s="3" t="s">
        <v>33</v>
      </c>
      <c r="D111" s="3" t="s">
        <v>148</v>
      </c>
      <c r="E111" s="3" t="s">
        <v>21</v>
      </c>
      <c r="F111" s="3" t="s">
        <v>78</v>
      </c>
      <c r="G111" s="3" t="s">
        <v>30</v>
      </c>
    </row>
    <row r="112" spans="1:7" x14ac:dyDescent="0.2">
      <c r="A112">
        <v>4865</v>
      </c>
      <c r="B112" t="s">
        <v>382</v>
      </c>
      <c r="C112" t="s">
        <v>33</v>
      </c>
      <c r="D112" t="s">
        <v>148</v>
      </c>
      <c r="E112" t="s">
        <v>21</v>
      </c>
      <c r="F112" t="s">
        <v>80</v>
      </c>
      <c r="G112" t="s">
        <v>23</v>
      </c>
    </row>
    <row r="113" spans="1:7" x14ac:dyDescent="0.2">
      <c r="A113" s="3">
        <v>4866</v>
      </c>
      <c r="B113" s="3" t="s">
        <v>392</v>
      </c>
      <c r="C113" s="3" t="s">
        <v>33</v>
      </c>
      <c r="D113" s="3" t="s">
        <v>148</v>
      </c>
      <c r="E113" s="3" t="s">
        <v>21</v>
      </c>
      <c r="F113" s="3" t="s">
        <v>49</v>
      </c>
      <c r="G113" s="3" t="s">
        <v>16</v>
      </c>
    </row>
    <row r="114" spans="1:7" x14ac:dyDescent="0.2">
      <c r="A114" s="3">
        <v>5034</v>
      </c>
      <c r="B114" s="3" t="s">
        <v>382</v>
      </c>
      <c r="C114" s="3" t="s">
        <v>37</v>
      </c>
      <c r="D114" s="3" t="s">
        <v>391</v>
      </c>
      <c r="E114" s="3" t="s">
        <v>21</v>
      </c>
      <c r="F114" s="3" t="s">
        <v>121</v>
      </c>
      <c r="G114" s="3" t="s">
        <v>25</v>
      </c>
    </row>
    <row r="115" spans="1:7" x14ac:dyDescent="0.2">
      <c r="A115" s="3">
        <v>5148</v>
      </c>
      <c r="B115" s="3" t="s">
        <v>392</v>
      </c>
      <c r="C115" s="3" t="s">
        <v>33</v>
      </c>
      <c r="D115" s="3" t="s">
        <v>148</v>
      </c>
      <c r="E115" s="3" t="s">
        <v>21</v>
      </c>
      <c r="F115" s="3" t="s">
        <v>49</v>
      </c>
      <c r="G115" s="3" t="s">
        <v>16</v>
      </c>
    </row>
    <row r="116" spans="1:7" x14ac:dyDescent="0.2">
      <c r="A116" s="3">
        <v>5174</v>
      </c>
      <c r="B116" s="3" t="s">
        <v>392</v>
      </c>
      <c r="C116" s="3" t="s">
        <v>37</v>
      </c>
      <c r="D116" s="3" t="s">
        <v>402</v>
      </c>
      <c r="E116" s="3" t="s">
        <v>28</v>
      </c>
      <c r="F116" s="3" t="s">
        <v>61</v>
      </c>
      <c r="G116" s="3" t="s">
        <v>30</v>
      </c>
    </row>
    <row r="117" spans="1:7" x14ac:dyDescent="0.2">
      <c r="A117">
        <v>5315</v>
      </c>
      <c r="B117" t="s">
        <v>392</v>
      </c>
      <c r="C117" t="s">
        <v>26</v>
      </c>
      <c r="D117" t="s">
        <v>402</v>
      </c>
      <c r="E117" t="s">
        <v>28</v>
      </c>
      <c r="F117" t="s">
        <v>61</v>
      </c>
      <c r="G117" t="s">
        <v>30</v>
      </c>
    </row>
    <row r="118" spans="1:7" x14ac:dyDescent="0.2">
      <c r="A118" s="2">
        <v>5333</v>
      </c>
      <c r="B118" s="3" t="s">
        <v>397</v>
      </c>
      <c r="C118" s="3" t="s">
        <v>148</v>
      </c>
      <c r="D118" t="s">
        <v>148</v>
      </c>
      <c r="E118" t="s">
        <v>56</v>
      </c>
      <c r="F118" t="s">
        <v>81</v>
      </c>
      <c r="G118" t="s">
        <v>401</v>
      </c>
    </row>
    <row r="119" spans="1:7" x14ac:dyDescent="0.2">
      <c r="A119" s="2">
        <v>5403</v>
      </c>
      <c r="B119" s="3" t="s">
        <v>397</v>
      </c>
      <c r="C119" s="3" t="s">
        <v>63</v>
      </c>
      <c r="D119" t="s">
        <v>402</v>
      </c>
      <c r="E119" t="s">
        <v>21</v>
      </c>
      <c r="F119" t="s">
        <v>82</v>
      </c>
      <c r="G119" t="s">
        <v>401</v>
      </c>
    </row>
    <row r="120" spans="1:7" x14ac:dyDescent="0.2">
      <c r="A120" s="3">
        <v>5476</v>
      </c>
      <c r="B120" s="3" t="s">
        <v>397</v>
      </c>
      <c r="C120" s="3" t="s">
        <v>148</v>
      </c>
      <c r="D120" s="3" t="s">
        <v>420</v>
      </c>
      <c r="E120" s="3" t="s">
        <v>14</v>
      </c>
      <c r="F120" s="3" t="s">
        <v>390</v>
      </c>
      <c r="G120" s="3" t="s">
        <v>390</v>
      </c>
    </row>
    <row r="121" spans="1:7" x14ac:dyDescent="0.2">
      <c r="A121" s="2">
        <v>5800</v>
      </c>
      <c r="B121" s="3" t="s">
        <v>392</v>
      </c>
      <c r="C121" s="3" t="s">
        <v>416</v>
      </c>
      <c r="D121" t="s">
        <v>391</v>
      </c>
      <c r="E121" t="s">
        <v>21</v>
      </c>
      <c r="F121" t="s">
        <v>132</v>
      </c>
      <c r="G121" t="s">
        <v>30</v>
      </c>
    </row>
    <row r="122" spans="1:7" x14ac:dyDescent="0.2">
      <c r="A122" s="2">
        <v>6291</v>
      </c>
      <c r="B122" s="3" t="s">
        <v>397</v>
      </c>
      <c r="C122" s="3" t="s">
        <v>148</v>
      </c>
      <c r="D122" t="s">
        <v>148</v>
      </c>
      <c r="E122" t="s">
        <v>14</v>
      </c>
      <c r="F122" t="s">
        <v>412</v>
      </c>
      <c r="G122" t="s">
        <v>413</v>
      </c>
    </row>
    <row r="123" spans="1:7" x14ac:dyDescent="0.2">
      <c r="A123" s="3">
        <v>6315</v>
      </c>
      <c r="B123" s="3" t="s">
        <v>382</v>
      </c>
      <c r="C123" s="3" t="s">
        <v>148</v>
      </c>
      <c r="D123" s="3" t="s">
        <v>148</v>
      </c>
      <c r="E123" s="3" t="s">
        <v>21</v>
      </c>
      <c r="F123" s="3" t="s">
        <v>390</v>
      </c>
      <c r="G123" s="3" t="s">
        <v>390</v>
      </c>
    </row>
    <row r="124" spans="1:7" x14ac:dyDescent="0.2">
      <c r="A124" s="3">
        <v>6613</v>
      </c>
      <c r="B124" s="3" t="s">
        <v>382</v>
      </c>
      <c r="C124" s="3" t="s">
        <v>33</v>
      </c>
      <c r="D124" s="3" t="s">
        <v>420</v>
      </c>
      <c r="E124" s="3" t="s">
        <v>56</v>
      </c>
      <c r="F124" s="3" t="s">
        <v>390</v>
      </c>
      <c r="G124" s="3" t="s">
        <v>390</v>
      </c>
    </row>
    <row r="125" spans="1:7" x14ac:dyDescent="0.2">
      <c r="A125" s="3">
        <v>6971</v>
      </c>
      <c r="B125" s="3" t="s">
        <v>392</v>
      </c>
      <c r="C125" s="3" t="s">
        <v>83</v>
      </c>
      <c r="D125" s="3" t="s">
        <v>402</v>
      </c>
      <c r="E125" s="3" t="s">
        <v>44</v>
      </c>
      <c r="F125" s="3" t="s">
        <v>85</v>
      </c>
      <c r="G125" s="3" t="s">
        <v>427</v>
      </c>
    </row>
    <row r="126" spans="1:7" x14ac:dyDescent="0.2">
      <c r="A126">
        <v>7345</v>
      </c>
      <c r="B126" t="s">
        <v>392</v>
      </c>
      <c r="C126" t="s">
        <v>17</v>
      </c>
      <c r="D126" t="s">
        <v>402</v>
      </c>
      <c r="E126" t="s">
        <v>44</v>
      </c>
      <c r="F126" t="s">
        <v>61</v>
      </c>
      <c r="G126" t="s">
        <v>30</v>
      </c>
    </row>
    <row r="127" spans="1:7" x14ac:dyDescent="0.2">
      <c r="A127">
        <v>7536</v>
      </c>
      <c r="B127" t="s">
        <v>397</v>
      </c>
      <c r="C127" t="s">
        <v>37</v>
      </c>
      <c r="D127" t="s">
        <v>391</v>
      </c>
      <c r="E127" t="s">
        <v>92</v>
      </c>
      <c r="F127" t="s">
        <v>49</v>
      </c>
      <c r="G127" t="s">
        <v>16</v>
      </c>
    </row>
    <row r="128" spans="1:7" x14ac:dyDescent="0.2">
      <c r="A128">
        <v>7788</v>
      </c>
      <c r="B128" t="s">
        <v>382</v>
      </c>
      <c r="C128" t="s">
        <v>148</v>
      </c>
      <c r="D128" t="s">
        <v>148</v>
      </c>
      <c r="E128" t="s">
        <v>56</v>
      </c>
      <c r="F128" t="s">
        <v>85</v>
      </c>
      <c r="G128" t="s">
        <v>16</v>
      </c>
    </row>
    <row r="129" spans="1:7" x14ac:dyDescent="0.2">
      <c r="A129">
        <v>7805</v>
      </c>
      <c r="B129" t="s">
        <v>392</v>
      </c>
      <c r="C129" t="s">
        <v>26</v>
      </c>
      <c r="D129" t="s">
        <v>148</v>
      </c>
      <c r="E129" t="s">
        <v>21</v>
      </c>
      <c r="F129" t="s">
        <v>71</v>
      </c>
      <c r="G129" t="s">
        <v>16</v>
      </c>
    </row>
    <row r="130" spans="1:7" x14ac:dyDescent="0.2">
      <c r="A130">
        <v>7837</v>
      </c>
      <c r="B130" t="s">
        <v>392</v>
      </c>
      <c r="C130" t="s">
        <v>17</v>
      </c>
      <c r="D130" t="s">
        <v>402</v>
      </c>
      <c r="E130" t="s">
        <v>28</v>
      </c>
      <c r="F130" t="s">
        <v>61</v>
      </c>
      <c r="G130" t="s">
        <v>30</v>
      </c>
    </row>
    <row r="131" spans="1:7" x14ac:dyDescent="0.2">
      <c r="A131">
        <v>7995</v>
      </c>
      <c r="B131" t="s">
        <v>381</v>
      </c>
      <c r="C131" t="s">
        <v>63</v>
      </c>
      <c r="D131" t="s">
        <v>391</v>
      </c>
      <c r="E131" t="s">
        <v>21</v>
      </c>
      <c r="F131" t="s">
        <v>49</v>
      </c>
      <c r="G131" t="s">
        <v>16</v>
      </c>
    </row>
    <row r="132" spans="1:7" x14ac:dyDescent="0.2">
      <c r="A132">
        <v>8232</v>
      </c>
      <c r="B132" t="s">
        <v>392</v>
      </c>
      <c r="C132" t="s">
        <v>83</v>
      </c>
      <c r="D132" t="s">
        <v>404</v>
      </c>
      <c r="E132" t="s">
        <v>44</v>
      </c>
      <c r="F132" t="s">
        <v>50</v>
      </c>
      <c r="G132" t="s">
        <v>51</v>
      </c>
    </row>
    <row r="133" spans="1:7" x14ac:dyDescent="0.2">
      <c r="A133">
        <v>8263</v>
      </c>
      <c r="B133" t="s">
        <v>381</v>
      </c>
      <c r="C133" t="s">
        <v>37</v>
      </c>
      <c r="D133" t="s">
        <v>391</v>
      </c>
      <c r="E133" t="s">
        <v>21</v>
      </c>
      <c r="F133" t="s">
        <v>94</v>
      </c>
      <c r="G133" t="s">
        <v>30</v>
      </c>
    </row>
    <row r="134" spans="1:7" x14ac:dyDescent="0.2">
      <c r="A134">
        <v>8366</v>
      </c>
      <c r="B134" t="s">
        <v>392</v>
      </c>
      <c r="C134" t="s">
        <v>55</v>
      </c>
      <c r="D134" t="s">
        <v>419</v>
      </c>
      <c r="E134" t="s">
        <v>56</v>
      </c>
      <c r="F134" t="s">
        <v>81</v>
      </c>
      <c r="G134" t="s">
        <v>42</v>
      </c>
    </row>
    <row r="135" spans="1:7" x14ac:dyDescent="0.2">
      <c r="A135">
        <v>8397</v>
      </c>
      <c r="B135" t="s">
        <v>392</v>
      </c>
      <c r="C135" t="s">
        <v>33</v>
      </c>
      <c r="D135" t="s">
        <v>391</v>
      </c>
      <c r="E135" t="s">
        <v>21</v>
      </c>
      <c r="F135" t="s">
        <v>57</v>
      </c>
      <c r="G135" t="s">
        <v>30</v>
      </c>
    </row>
    <row r="136" spans="1:7" x14ac:dyDescent="0.2">
      <c r="A136">
        <v>8401</v>
      </c>
      <c r="B136" t="s">
        <v>397</v>
      </c>
      <c r="C136" t="s">
        <v>37</v>
      </c>
      <c r="D136" t="s">
        <v>391</v>
      </c>
      <c r="E136" t="s">
        <v>28</v>
      </c>
      <c r="F136" t="s">
        <v>57</v>
      </c>
      <c r="G136" t="s">
        <v>30</v>
      </c>
    </row>
    <row r="137" spans="1:7" x14ac:dyDescent="0.2">
      <c r="A137">
        <v>8410</v>
      </c>
      <c r="B137" t="s">
        <v>392</v>
      </c>
      <c r="C137" t="s">
        <v>33</v>
      </c>
      <c r="D137" t="s">
        <v>391</v>
      </c>
      <c r="E137" t="s">
        <v>14</v>
      </c>
      <c r="F137" t="s">
        <v>57</v>
      </c>
      <c r="G137" t="s">
        <v>30</v>
      </c>
    </row>
    <row r="138" spans="1:7" x14ac:dyDescent="0.2">
      <c r="A138">
        <v>8425</v>
      </c>
      <c r="B138" t="s">
        <v>397</v>
      </c>
      <c r="C138" t="s">
        <v>37</v>
      </c>
      <c r="D138" t="s">
        <v>391</v>
      </c>
      <c r="E138" t="s">
        <v>28</v>
      </c>
      <c r="F138" t="s">
        <v>57</v>
      </c>
      <c r="G138" t="s">
        <v>30</v>
      </c>
    </row>
    <row r="139" spans="1:7" x14ac:dyDescent="0.2">
      <c r="A139">
        <v>8509</v>
      </c>
      <c r="B139" t="s">
        <v>392</v>
      </c>
      <c r="C139" t="s">
        <v>33</v>
      </c>
      <c r="D139" t="s">
        <v>391</v>
      </c>
      <c r="E139" t="s">
        <v>21</v>
      </c>
      <c r="F139" t="s">
        <v>57</v>
      </c>
      <c r="G139" t="s">
        <v>30</v>
      </c>
    </row>
    <row r="140" spans="1:7" x14ac:dyDescent="0.2">
      <c r="A140">
        <v>8589</v>
      </c>
      <c r="B140" t="s">
        <v>381</v>
      </c>
      <c r="C140" t="s">
        <v>37</v>
      </c>
      <c r="D140" t="s">
        <v>391</v>
      </c>
      <c r="E140" t="s">
        <v>21</v>
      </c>
      <c r="F140" t="s">
        <v>49</v>
      </c>
      <c r="G140" t="s">
        <v>16</v>
      </c>
    </row>
    <row r="141" spans="1:7" x14ac:dyDescent="0.2">
      <c r="A141">
        <v>8600</v>
      </c>
      <c r="B141" t="s">
        <v>382</v>
      </c>
      <c r="C141" t="s">
        <v>148</v>
      </c>
      <c r="D141" t="s">
        <v>390</v>
      </c>
      <c r="E141" t="s">
        <v>56</v>
      </c>
      <c r="F141" t="s">
        <v>85</v>
      </c>
      <c r="G141" t="s">
        <v>16</v>
      </c>
    </row>
    <row r="142" spans="1:7" x14ac:dyDescent="0.2">
      <c r="A142">
        <v>8655</v>
      </c>
      <c r="B142" t="s">
        <v>397</v>
      </c>
      <c r="C142" t="s">
        <v>39</v>
      </c>
      <c r="D142" t="s">
        <v>390</v>
      </c>
      <c r="E142" t="s">
        <v>76</v>
      </c>
      <c r="F142" t="s">
        <v>279</v>
      </c>
      <c r="G142" t="s">
        <v>42</v>
      </c>
    </row>
    <row r="143" spans="1:7" x14ac:dyDescent="0.2">
      <c r="A143">
        <v>8850</v>
      </c>
      <c r="B143" t="s">
        <v>392</v>
      </c>
      <c r="C143" t="s">
        <v>55</v>
      </c>
      <c r="D143" t="s">
        <v>391</v>
      </c>
      <c r="E143" t="s">
        <v>28</v>
      </c>
      <c r="F143" t="s">
        <v>57</v>
      </c>
      <c r="G143" t="s">
        <v>55</v>
      </c>
    </row>
    <row r="144" spans="1:7" x14ac:dyDescent="0.2">
      <c r="A144">
        <v>8852</v>
      </c>
      <c r="B144" t="s">
        <v>392</v>
      </c>
      <c r="C144" t="s">
        <v>33</v>
      </c>
      <c r="D144" t="s">
        <v>391</v>
      </c>
      <c r="E144" t="s">
        <v>28</v>
      </c>
      <c r="F144" t="s">
        <v>57</v>
      </c>
      <c r="G144" t="s">
        <v>30</v>
      </c>
    </row>
    <row r="145" spans="1:7" x14ac:dyDescent="0.2">
      <c r="A145">
        <v>8919</v>
      </c>
      <c r="B145" t="s">
        <v>381</v>
      </c>
      <c r="C145" t="s">
        <v>55</v>
      </c>
      <c r="D145" t="s">
        <v>391</v>
      </c>
      <c r="E145" t="s">
        <v>21</v>
      </c>
      <c r="F145" t="s">
        <v>85</v>
      </c>
      <c r="G145" t="s">
        <v>16</v>
      </c>
    </row>
    <row r="146" spans="1:7" x14ac:dyDescent="0.2">
      <c r="A146">
        <v>9023</v>
      </c>
      <c r="B146" t="s">
        <v>392</v>
      </c>
      <c r="C146" t="s">
        <v>33</v>
      </c>
      <c r="D146" t="s">
        <v>391</v>
      </c>
      <c r="E146" t="s">
        <v>56</v>
      </c>
      <c r="F146" t="s">
        <v>57</v>
      </c>
      <c r="G146" t="s">
        <v>30</v>
      </c>
    </row>
    <row r="147" spans="1:7" x14ac:dyDescent="0.2">
      <c r="A147">
        <v>9293</v>
      </c>
      <c r="B147" t="s">
        <v>392</v>
      </c>
      <c r="C147" t="s">
        <v>33</v>
      </c>
      <c r="D147" t="s">
        <v>391</v>
      </c>
      <c r="E147" t="s">
        <v>21</v>
      </c>
      <c r="F147" t="s">
        <v>57</v>
      </c>
      <c r="G147" t="s">
        <v>30</v>
      </c>
    </row>
    <row r="148" spans="1:7" x14ac:dyDescent="0.2">
      <c r="A148">
        <v>9343</v>
      </c>
      <c r="B148" t="s">
        <v>381</v>
      </c>
      <c r="C148" t="s">
        <v>63</v>
      </c>
      <c r="D148" t="s">
        <v>391</v>
      </c>
      <c r="E148" t="s">
        <v>21</v>
      </c>
      <c r="F148" t="s">
        <v>49</v>
      </c>
      <c r="G148" t="s">
        <v>16</v>
      </c>
    </row>
    <row r="149" spans="1:7" x14ac:dyDescent="0.2">
      <c r="A149">
        <v>9366</v>
      </c>
      <c r="B149" t="s">
        <v>392</v>
      </c>
      <c r="C149" t="s">
        <v>55</v>
      </c>
      <c r="D149" t="s">
        <v>391</v>
      </c>
      <c r="E149" t="s">
        <v>28</v>
      </c>
      <c r="F149" t="s">
        <v>24</v>
      </c>
      <c r="G149" t="s">
        <v>25</v>
      </c>
    </row>
    <row r="150" spans="1:7" x14ac:dyDescent="0.2">
      <c r="A150">
        <v>9370</v>
      </c>
      <c r="B150" t="s">
        <v>392</v>
      </c>
      <c r="C150" t="s">
        <v>55</v>
      </c>
      <c r="D150" t="s">
        <v>390</v>
      </c>
      <c r="E150" t="s">
        <v>28</v>
      </c>
      <c r="F150" t="s">
        <v>24</v>
      </c>
      <c r="G150" t="s">
        <v>25</v>
      </c>
    </row>
    <row r="151" spans="1:7" x14ac:dyDescent="0.2">
      <c r="A151">
        <v>9444</v>
      </c>
      <c r="B151" t="s">
        <v>392</v>
      </c>
      <c r="C151" t="s">
        <v>37</v>
      </c>
      <c r="D151" t="s">
        <v>391</v>
      </c>
      <c r="E151" t="s">
        <v>28</v>
      </c>
      <c r="F151" t="s">
        <v>24</v>
      </c>
      <c r="G151" t="s">
        <v>25</v>
      </c>
    </row>
    <row r="152" spans="1:7" x14ac:dyDescent="0.2">
      <c r="A152">
        <v>9447</v>
      </c>
      <c r="B152" t="s">
        <v>392</v>
      </c>
      <c r="C152" t="s">
        <v>55</v>
      </c>
      <c r="D152" t="s">
        <v>390</v>
      </c>
      <c r="E152" t="s">
        <v>28</v>
      </c>
      <c r="F152" t="s">
        <v>24</v>
      </c>
      <c r="G152" t="s">
        <v>25</v>
      </c>
    </row>
    <row r="153" spans="1:7" x14ac:dyDescent="0.2">
      <c r="A153" s="3">
        <v>9452</v>
      </c>
      <c r="B153" s="3" t="s">
        <v>392</v>
      </c>
      <c r="C153" s="3" t="s">
        <v>37</v>
      </c>
      <c r="D153" s="3" t="s">
        <v>391</v>
      </c>
      <c r="E153" s="3" t="s">
        <v>28</v>
      </c>
      <c r="F153" s="3" t="s">
        <v>24</v>
      </c>
      <c r="G153" s="3" t="s">
        <v>421</v>
      </c>
    </row>
    <row r="154" spans="1:7" x14ac:dyDescent="0.2">
      <c r="A154">
        <v>9454</v>
      </c>
      <c r="B154" t="s">
        <v>392</v>
      </c>
      <c r="C154" t="s">
        <v>37</v>
      </c>
      <c r="D154" t="s">
        <v>391</v>
      </c>
      <c r="E154" t="s">
        <v>28</v>
      </c>
      <c r="F154" t="s">
        <v>24</v>
      </c>
      <c r="G154" t="s">
        <v>25</v>
      </c>
    </row>
    <row r="155" spans="1:7" x14ac:dyDescent="0.2">
      <c r="A155">
        <v>9456</v>
      </c>
      <c r="B155" t="s">
        <v>392</v>
      </c>
      <c r="C155" t="s">
        <v>37</v>
      </c>
      <c r="D155" t="s">
        <v>390</v>
      </c>
      <c r="E155" t="s">
        <v>28</v>
      </c>
      <c r="F155" t="s">
        <v>24</v>
      </c>
      <c r="G155" t="s">
        <v>25</v>
      </c>
    </row>
    <row r="156" spans="1:7" x14ac:dyDescent="0.2">
      <c r="A156">
        <v>9505</v>
      </c>
      <c r="B156" t="s">
        <v>392</v>
      </c>
      <c r="C156" t="s">
        <v>37</v>
      </c>
      <c r="D156" t="s">
        <v>391</v>
      </c>
      <c r="E156" t="s">
        <v>14</v>
      </c>
      <c r="F156" t="s">
        <v>24</v>
      </c>
      <c r="G156" t="s">
        <v>25</v>
      </c>
    </row>
    <row r="157" spans="1:7" x14ac:dyDescent="0.2">
      <c r="A157">
        <v>9506</v>
      </c>
      <c r="B157" t="s">
        <v>392</v>
      </c>
      <c r="C157" t="s">
        <v>54</v>
      </c>
      <c r="D157" t="s">
        <v>391</v>
      </c>
      <c r="E157" t="s">
        <v>14</v>
      </c>
      <c r="F157" t="s">
        <v>84</v>
      </c>
      <c r="G157" t="s">
        <v>30</v>
      </c>
    </row>
    <row r="158" spans="1:7" x14ac:dyDescent="0.2">
      <c r="A158">
        <v>9561</v>
      </c>
      <c r="B158" t="s">
        <v>392</v>
      </c>
      <c r="C158" t="s">
        <v>37</v>
      </c>
      <c r="D158" t="s">
        <v>391</v>
      </c>
      <c r="E158" t="s">
        <v>21</v>
      </c>
      <c r="F158" t="s">
        <v>24</v>
      </c>
      <c r="G158" t="s">
        <v>25</v>
      </c>
    </row>
    <row r="159" spans="1:7" x14ac:dyDescent="0.2">
      <c r="A159">
        <v>9602</v>
      </c>
      <c r="B159" t="s">
        <v>382</v>
      </c>
      <c r="C159" t="s">
        <v>37</v>
      </c>
      <c r="D159" t="s">
        <v>391</v>
      </c>
      <c r="E159" t="s">
        <v>28</v>
      </c>
      <c r="F159" t="s">
        <v>73</v>
      </c>
      <c r="G159" t="s">
        <v>25</v>
      </c>
    </row>
    <row r="160" spans="1:7" x14ac:dyDescent="0.2">
      <c r="A160">
        <v>9695</v>
      </c>
      <c r="B160" t="s">
        <v>392</v>
      </c>
      <c r="C160" t="s">
        <v>37</v>
      </c>
      <c r="D160" t="s">
        <v>390</v>
      </c>
      <c r="E160" t="s">
        <v>28</v>
      </c>
      <c r="F160" t="s">
        <v>24</v>
      </c>
      <c r="G160" t="s">
        <v>25</v>
      </c>
    </row>
    <row r="161" spans="1:7" x14ac:dyDescent="0.2">
      <c r="A161">
        <v>9707</v>
      </c>
      <c r="B161" t="s">
        <v>397</v>
      </c>
      <c r="C161" t="s">
        <v>33</v>
      </c>
      <c r="D161" t="s">
        <v>402</v>
      </c>
      <c r="E161" t="s">
        <v>21</v>
      </c>
      <c r="F161" t="s">
        <v>45</v>
      </c>
      <c r="G161" t="s">
        <v>42</v>
      </c>
    </row>
    <row r="162" spans="1:7" x14ac:dyDescent="0.2">
      <c r="A162">
        <v>9730</v>
      </c>
      <c r="B162" t="s">
        <v>392</v>
      </c>
      <c r="C162" t="s">
        <v>37</v>
      </c>
      <c r="D162" t="s">
        <v>390</v>
      </c>
      <c r="E162" t="s">
        <v>28</v>
      </c>
      <c r="F162" t="s">
        <v>24</v>
      </c>
      <c r="G162" t="s">
        <v>25</v>
      </c>
    </row>
    <row r="163" spans="1:7" x14ac:dyDescent="0.2">
      <c r="A163">
        <v>9745</v>
      </c>
      <c r="B163" t="s">
        <v>392</v>
      </c>
      <c r="C163" t="s">
        <v>55</v>
      </c>
      <c r="D163" t="s">
        <v>391</v>
      </c>
      <c r="E163" t="s">
        <v>14</v>
      </c>
      <c r="F163" t="s">
        <v>24</v>
      </c>
      <c r="G163" t="s">
        <v>25</v>
      </c>
    </row>
    <row r="164" spans="1:7" x14ac:dyDescent="0.2">
      <c r="A164">
        <v>9753</v>
      </c>
      <c r="B164" t="s">
        <v>382</v>
      </c>
      <c r="C164" t="s">
        <v>55</v>
      </c>
      <c r="D164" t="s">
        <v>391</v>
      </c>
      <c r="E164" t="s">
        <v>21</v>
      </c>
      <c r="F164" t="s">
        <v>24</v>
      </c>
      <c r="G164" t="s">
        <v>55</v>
      </c>
    </row>
    <row r="165" spans="1:7" x14ac:dyDescent="0.2">
      <c r="A165">
        <v>9845</v>
      </c>
      <c r="B165" t="s">
        <v>382</v>
      </c>
      <c r="C165" t="s">
        <v>37</v>
      </c>
      <c r="D165" t="s">
        <v>391</v>
      </c>
      <c r="E165" t="s">
        <v>28</v>
      </c>
      <c r="F165" t="s">
        <v>24</v>
      </c>
      <c r="G165" t="s">
        <v>25</v>
      </c>
    </row>
    <row r="166" spans="1:7" x14ac:dyDescent="0.2">
      <c r="A166">
        <v>9847</v>
      </c>
      <c r="B166" t="s">
        <v>392</v>
      </c>
      <c r="C166" t="s">
        <v>54</v>
      </c>
      <c r="D166" t="s">
        <v>391</v>
      </c>
      <c r="E166" t="s">
        <v>28</v>
      </c>
      <c r="F166" t="s">
        <v>24</v>
      </c>
      <c r="G166" t="s">
        <v>25</v>
      </c>
    </row>
    <row r="167" spans="1:7" x14ac:dyDescent="0.2">
      <c r="A167">
        <v>9849</v>
      </c>
      <c r="B167" t="s">
        <v>392</v>
      </c>
      <c r="C167" t="s">
        <v>37</v>
      </c>
      <c r="D167" t="s">
        <v>391</v>
      </c>
      <c r="E167" t="s">
        <v>28</v>
      </c>
      <c r="F167" t="s">
        <v>79</v>
      </c>
      <c r="G167" t="s">
        <v>23</v>
      </c>
    </row>
    <row r="168" spans="1:7" x14ac:dyDescent="0.2">
      <c r="A168">
        <v>9861</v>
      </c>
      <c r="B168" t="s">
        <v>381</v>
      </c>
      <c r="C168" t="s">
        <v>63</v>
      </c>
      <c r="D168" t="s">
        <v>391</v>
      </c>
      <c r="E168" t="s">
        <v>21</v>
      </c>
      <c r="F168" t="s">
        <v>49</v>
      </c>
      <c r="G168" t="s">
        <v>16</v>
      </c>
    </row>
    <row r="169" spans="1:7" x14ac:dyDescent="0.2">
      <c r="A169">
        <v>9980</v>
      </c>
      <c r="B169" t="s">
        <v>392</v>
      </c>
      <c r="C169" t="s">
        <v>37</v>
      </c>
      <c r="D169" t="s">
        <v>390</v>
      </c>
      <c r="E169" t="s">
        <v>44</v>
      </c>
      <c r="F169" t="s">
        <v>24</v>
      </c>
      <c r="G169" t="s">
        <v>25</v>
      </c>
    </row>
    <row r="170" spans="1:7" x14ac:dyDescent="0.2">
      <c r="A170">
        <v>10014</v>
      </c>
      <c r="B170" t="s">
        <v>392</v>
      </c>
      <c r="C170" t="s">
        <v>37</v>
      </c>
      <c r="D170" t="s">
        <v>391</v>
      </c>
      <c r="E170" t="s">
        <v>28</v>
      </c>
      <c r="F170" t="s">
        <v>24</v>
      </c>
      <c r="G170" t="s">
        <v>25</v>
      </c>
    </row>
    <row r="171" spans="1:7" x14ac:dyDescent="0.2">
      <c r="A171">
        <v>10136</v>
      </c>
      <c r="B171" t="s">
        <v>382</v>
      </c>
      <c r="C171" t="s">
        <v>33</v>
      </c>
      <c r="D171" t="s">
        <v>428</v>
      </c>
      <c r="E171" t="s">
        <v>76</v>
      </c>
      <c r="F171" t="s">
        <v>390</v>
      </c>
      <c r="G171" t="s">
        <v>390</v>
      </c>
    </row>
    <row r="172" spans="1:7" x14ac:dyDescent="0.2">
      <c r="A172">
        <v>10151</v>
      </c>
      <c r="B172" t="s">
        <v>392</v>
      </c>
      <c r="C172" t="s">
        <v>37</v>
      </c>
      <c r="D172" t="s">
        <v>391</v>
      </c>
      <c r="E172" t="s">
        <v>14</v>
      </c>
      <c r="F172" t="s">
        <v>121</v>
      </c>
      <c r="G172" t="s">
        <v>25</v>
      </c>
    </row>
    <row r="173" spans="1:7" x14ac:dyDescent="0.2">
      <c r="A173">
        <v>10164</v>
      </c>
      <c r="B173" t="s">
        <v>392</v>
      </c>
      <c r="C173" t="s">
        <v>63</v>
      </c>
      <c r="D173" t="s">
        <v>148</v>
      </c>
      <c r="E173" t="s">
        <v>28</v>
      </c>
      <c r="F173" t="s">
        <v>24</v>
      </c>
      <c r="G173" t="s">
        <v>25</v>
      </c>
    </row>
    <row r="174" spans="1:7" x14ac:dyDescent="0.2">
      <c r="A174">
        <v>10166</v>
      </c>
      <c r="B174" t="s">
        <v>392</v>
      </c>
      <c r="C174" t="s">
        <v>37</v>
      </c>
      <c r="D174" t="s">
        <v>391</v>
      </c>
      <c r="E174" t="s">
        <v>28</v>
      </c>
      <c r="F174" t="s">
        <v>24</v>
      </c>
      <c r="G174" t="s">
        <v>25</v>
      </c>
    </row>
    <row r="175" spans="1:7" x14ac:dyDescent="0.2">
      <c r="A175">
        <v>10174</v>
      </c>
      <c r="B175" t="s">
        <v>392</v>
      </c>
      <c r="C175" t="s">
        <v>54</v>
      </c>
      <c r="D175" t="s">
        <v>391</v>
      </c>
      <c r="E175" t="s">
        <v>28</v>
      </c>
      <c r="F175" t="s">
        <v>24</v>
      </c>
      <c r="G175" t="s">
        <v>23</v>
      </c>
    </row>
    <row r="176" spans="1:7" x14ac:dyDescent="0.2">
      <c r="A176">
        <v>10177</v>
      </c>
      <c r="B176" t="s">
        <v>392</v>
      </c>
      <c r="C176" t="s">
        <v>37</v>
      </c>
      <c r="D176" t="s">
        <v>391</v>
      </c>
      <c r="E176" t="s">
        <v>28</v>
      </c>
      <c r="F176" t="s">
        <v>24</v>
      </c>
      <c r="G176" t="s">
        <v>25</v>
      </c>
    </row>
    <row r="177" spans="1:7" x14ac:dyDescent="0.2">
      <c r="A177">
        <v>10179</v>
      </c>
      <c r="B177" t="s">
        <v>392</v>
      </c>
      <c r="C177" t="s">
        <v>54</v>
      </c>
      <c r="D177" t="s">
        <v>391</v>
      </c>
      <c r="E177" t="s">
        <v>28</v>
      </c>
      <c r="F177" t="s">
        <v>24</v>
      </c>
      <c r="G177" t="s">
        <v>25</v>
      </c>
    </row>
    <row r="178" spans="1:7" x14ac:dyDescent="0.2">
      <c r="A178">
        <v>10180</v>
      </c>
      <c r="B178" t="s">
        <v>392</v>
      </c>
      <c r="C178" t="s">
        <v>37</v>
      </c>
      <c r="D178" t="s">
        <v>390</v>
      </c>
      <c r="E178" t="s">
        <v>28</v>
      </c>
      <c r="F178" t="s">
        <v>79</v>
      </c>
      <c r="G178" t="s">
        <v>23</v>
      </c>
    </row>
    <row r="179" spans="1:7" x14ac:dyDescent="0.2">
      <c r="A179">
        <v>10181</v>
      </c>
      <c r="B179" t="s">
        <v>392</v>
      </c>
      <c r="C179" t="s">
        <v>37</v>
      </c>
      <c r="D179" t="s">
        <v>391</v>
      </c>
      <c r="E179" t="s">
        <v>28</v>
      </c>
      <c r="F179" t="s">
        <v>24</v>
      </c>
      <c r="G179" t="s">
        <v>25</v>
      </c>
    </row>
    <row r="180" spans="1:7" x14ac:dyDescent="0.2">
      <c r="A180">
        <v>10238</v>
      </c>
      <c r="B180" t="s">
        <v>397</v>
      </c>
      <c r="C180" t="s">
        <v>33</v>
      </c>
      <c r="D180" t="s">
        <v>402</v>
      </c>
      <c r="E180" t="s">
        <v>14</v>
      </c>
      <c r="F180" t="s">
        <v>45</v>
      </c>
      <c r="G180" t="s">
        <v>42</v>
      </c>
    </row>
    <row r="181" spans="1:7" x14ac:dyDescent="0.2">
      <c r="A181">
        <v>10239</v>
      </c>
      <c r="B181" t="s">
        <v>397</v>
      </c>
      <c r="C181" t="s">
        <v>33</v>
      </c>
      <c r="D181" t="s">
        <v>402</v>
      </c>
      <c r="E181" t="s">
        <v>28</v>
      </c>
      <c r="F181" t="s">
        <v>68</v>
      </c>
      <c r="G181" t="s">
        <v>42</v>
      </c>
    </row>
    <row r="182" spans="1:7" x14ac:dyDescent="0.2">
      <c r="A182" s="2">
        <v>5178</v>
      </c>
      <c r="B182" s="5" t="s">
        <v>392</v>
      </c>
      <c r="C182" s="5" t="s">
        <v>26</v>
      </c>
      <c r="D182" s="6" t="s">
        <v>402</v>
      </c>
      <c r="E182" s="6" t="s">
        <v>21</v>
      </c>
      <c r="F182" s="6" t="s">
        <v>61</v>
      </c>
      <c r="G182" s="6" t="s">
        <v>414</v>
      </c>
    </row>
    <row r="183" spans="1:7" x14ac:dyDescent="0.2">
      <c r="A183" s="2">
        <v>5185</v>
      </c>
      <c r="B183" s="5" t="s">
        <v>392</v>
      </c>
      <c r="C183" s="5" t="s">
        <v>17</v>
      </c>
      <c r="D183" s="6" t="s">
        <v>402</v>
      </c>
      <c r="E183" s="6" t="s">
        <v>28</v>
      </c>
      <c r="F183" s="6" t="s">
        <v>61</v>
      </c>
      <c r="G183" s="6" t="s">
        <v>414</v>
      </c>
    </row>
    <row r="184" spans="1:7" x14ac:dyDescent="0.2">
      <c r="A184" s="2">
        <v>5264</v>
      </c>
      <c r="B184" s="5" t="s">
        <v>382</v>
      </c>
      <c r="C184" s="5" t="s">
        <v>26</v>
      </c>
      <c r="D184" s="6" t="s">
        <v>391</v>
      </c>
      <c r="E184" s="6" t="s">
        <v>21</v>
      </c>
      <c r="F184" s="6" t="s">
        <v>29</v>
      </c>
      <c r="G184" s="6" t="s">
        <v>414</v>
      </c>
    </row>
    <row r="185" spans="1:7" x14ac:dyDescent="0.2">
      <c r="A185" s="2">
        <v>5265</v>
      </c>
      <c r="B185" s="5" t="s">
        <v>382</v>
      </c>
      <c r="C185" s="6" t="s">
        <v>37</v>
      </c>
      <c r="D185" s="6" t="s">
        <v>391</v>
      </c>
      <c r="E185" s="6" t="s">
        <v>21</v>
      </c>
      <c r="F185" s="6" t="s">
        <v>29</v>
      </c>
      <c r="G185" s="6" t="s">
        <v>414</v>
      </c>
    </row>
    <row r="186" spans="1:7" x14ac:dyDescent="0.2">
      <c r="A186" s="2">
        <v>5300</v>
      </c>
      <c r="B186" s="5" t="s">
        <v>392</v>
      </c>
      <c r="C186" s="6" t="s">
        <v>37</v>
      </c>
      <c r="D186" s="6" t="s">
        <v>402</v>
      </c>
      <c r="E186" s="6" t="s">
        <v>28</v>
      </c>
      <c r="F186" s="6" t="s">
        <v>61</v>
      </c>
      <c r="G186" s="6" t="s">
        <v>414</v>
      </c>
    </row>
    <row r="187" spans="1:7" x14ac:dyDescent="0.2">
      <c r="A187" s="2">
        <v>5312</v>
      </c>
      <c r="B187" s="5" t="s">
        <v>392</v>
      </c>
      <c r="C187" s="6" t="s">
        <v>37</v>
      </c>
      <c r="D187" s="6" t="s">
        <v>402</v>
      </c>
      <c r="E187" s="6" t="s">
        <v>28</v>
      </c>
      <c r="F187" s="6" t="s">
        <v>61</v>
      </c>
      <c r="G187" s="6" t="s">
        <v>414</v>
      </c>
    </row>
    <row r="188" spans="1:7" x14ac:dyDescent="0.2">
      <c r="A188" s="2">
        <v>5331</v>
      </c>
      <c r="B188" s="5" t="s">
        <v>392</v>
      </c>
      <c r="C188" s="5" t="s">
        <v>83</v>
      </c>
      <c r="D188" s="6" t="s">
        <v>402</v>
      </c>
      <c r="E188" s="6" t="s">
        <v>28</v>
      </c>
      <c r="F188" s="6" t="s">
        <v>61</v>
      </c>
      <c r="G188" s="6" t="s">
        <v>414</v>
      </c>
    </row>
    <row r="189" spans="1:7" x14ac:dyDescent="0.2">
      <c r="A189" s="2">
        <v>5338</v>
      </c>
      <c r="B189" s="5" t="s">
        <v>397</v>
      </c>
      <c r="C189" s="5" t="s">
        <v>148</v>
      </c>
      <c r="D189" s="6" t="s">
        <v>148</v>
      </c>
      <c r="E189" s="6" t="s">
        <v>429</v>
      </c>
      <c r="F189" s="6" t="s">
        <v>81</v>
      </c>
      <c r="G189" s="6" t="s">
        <v>430</v>
      </c>
    </row>
    <row r="190" spans="1:7" x14ac:dyDescent="0.2">
      <c r="A190" s="2">
        <v>5344</v>
      </c>
      <c r="B190" s="5" t="s">
        <v>392</v>
      </c>
      <c r="C190" s="5" t="s">
        <v>17</v>
      </c>
      <c r="D190" s="6" t="s">
        <v>402</v>
      </c>
      <c r="E190" s="6" t="s">
        <v>28</v>
      </c>
      <c r="F190" s="6" t="s">
        <v>61</v>
      </c>
      <c r="G190" s="6" t="s">
        <v>414</v>
      </c>
    </row>
    <row r="191" spans="1:7" x14ac:dyDescent="0.2">
      <c r="A191" s="2">
        <v>5371</v>
      </c>
      <c r="B191" s="5" t="s">
        <v>392</v>
      </c>
      <c r="C191" s="5" t="s">
        <v>17</v>
      </c>
      <c r="D191" s="6" t="s">
        <v>402</v>
      </c>
      <c r="E191" s="6" t="s">
        <v>28</v>
      </c>
      <c r="F191" s="6" t="s">
        <v>61</v>
      </c>
      <c r="G191" s="6" t="s">
        <v>414</v>
      </c>
    </row>
    <row r="192" spans="1:7" x14ac:dyDescent="0.2">
      <c r="A192" s="2">
        <v>5518</v>
      </c>
      <c r="B192" s="5" t="s">
        <v>392</v>
      </c>
      <c r="C192" s="5" t="s">
        <v>26</v>
      </c>
      <c r="D192" s="6" t="s">
        <v>402</v>
      </c>
      <c r="E192" s="6" t="s">
        <v>28</v>
      </c>
      <c r="F192" s="6" t="s">
        <v>61</v>
      </c>
      <c r="G192" s="6" t="s">
        <v>414</v>
      </c>
    </row>
    <row r="193" spans="1:7" x14ac:dyDescent="0.2">
      <c r="A193" s="2">
        <v>5661</v>
      </c>
      <c r="B193" s="5" t="s">
        <v>392</v>
      </c>
      <c r="C193" s="6" t="s">
        <v>148</v>
      </c>
      <c r="D193" s="6" t="s">
        <v>55</v>
      </c>
      <c r="E193" s="6" t="s">
        <v>56</v>
      </c>
      <c r="F193" s="6" t="s">
        <v>49</v>
      </c>
      <c r="G193" s="6" t="s">
        <v>427</v>
      </c>
    </row>
    <row r="194" spans="1:7" x14ac:dyDescent="0.2">
      <c r="A194" s="2">
        <v>5699</v>
      </c>
      <c r="B194" s="5" t="s">
        <v>392</v>
      </c>
      <c r="C194" s="5" t="s">
        <v>17</v>
      </c>
      <c r="D194" s="6" t="s">
        <v>148</v>
      </c>
      <c r="E194" s="6" t="s">
        <v>14</v>
      </c>
      <c r="F194" s="6" t="s">
        <v>82</v>
      </c>
      <c r="G194" s="6" t="s">
        <v>427</v>
      </c>
    </row>
    <row r="195" spans="1:7" x14ac:dyDescent="0.2">
      <c r="A195" s="2">
        <v>5733</v>
      </c>
      <c r="B195" s="5" t="s">
        <v>397</v>
      </c>
      <c r="C195" s="5" t="s">
        <v>148</v>
      </c>
      <c r="D195" s="6" t="s">
        <v>402</v>
      </c>
      <c r="E195" s="6" t="s">
        <v>21</v>
      </c>
      <c r="F195" s="6" t="s">
        <v>68</v>
      </c>
      <c r="G195" s="6" t="s">
        <v>430</v>
      </c>
    </row>
    <row r="196" spans="1:7" x14ac:dyDescent="0.2">
      <c r="A196" s="2">
        <v>5771</v>
      </c>
      <c r="B196" s="5" t="s">
        <v>397</v>
      </c>
      <c r="C196" s="5" t="s">
        <v>17</v>
      </c>
      <c r="D196" s="6" t="s">
        <v>148</v>
      </c>
      <c r="E196" s="6" t="s">
        <v>21</v>
      </c>
      <c r="F196" s="6" t="s">
        <v>80</v>
      </c>
      <c r="G196" s="6" t="s">
        <v>406</v>
      </c>
    </row>
    <row r="197" spans="1:7" x14ac:dyDescent="0.2">
      <c r="A197" s="2">
        <v>5796</v>
      </c>
      <c r="B197" s="5" t="s">
        <v>392</v>
      </c>
      <c r="C197" s="6" t="s">
        <v>37</v>
      </c>
      <c r="D197" s="6" t="s">
        <v>402</v>
      </c>
      <c r="E197" s="6" t="s">
        <v>28</v>
      </c>
      <c r="F197" s="6" t="s">
        <v>61</v>
      </c>
      <c r="G197" s="6" t="s">
        <v>414</v>
      </c>
    </row>
    <row r="198" spans="1:7" x14ac:dyDescent="0.2">
      <c r="A198" s="2">
        <v>5807</v>
      </c>
      <c r="B198" s="5" t="s">
        <v>382</v>
      </c>
      <c r="C198" s="5" t="s">
        <v>17</v>
      </c>
      <c r="D198" s="6" t="s">
        <v>391</v>
      </c>
      <c r="E198" s="6" t="s">
        <v>28</v>
      </c>
      <c r="F198" s="6" t="s">
        <v>29</v>
      </c>
      <c r="G198" s="6" t="s">
        <v>414</v>
      </c>
    </row>
    <row r="199" spans="1:7" x14ac:dyDescent="0.2">
      <c r="A199" s="2">
        <v>5810</v>
      </c>
      <c r="B199" s="5" t="s">
        <v>382</v>
      </c>
      <c r="C199" s="5" t="s">
        <v>17</v>
      </c>
      <c r="D199" s="6" t="s">
        <v>391</v>
      </c>
      <c r="E199" s="6" t="s">
        <v>14</v>
      </c>
      <c r="F199" s="6" t="s">
        <v>38</v>
      </c>
      <c r="G199" s="6" t="s">
        <v>406</v>
      </c>
    </row>
    <row r="200" spans="1:7" x14ac:dyDescent="0.2">
      <c r="A200" s="2">
        <v>5844</v>
      </c>
      <c r="B200" s="5" t="s">
        <v>381</v>
      </c>
      <c r="C200" s="6" t="s">
        <v>33</v>
      </c>
      <c r="D200" s="6" t="s">
        <v>148</v>
      </c>
      <c r="E200" s="6" t="s">
        <v>21</v>
      </c>
      <c r="F200" s="6" t="s">
        <v>29</v>
      </c>
      <c r="G200" s="6" t="s">
        <v>414</v>
      </c>
    </row>
    <row r="201" spans="1:7" x14ac:dyDescent="0.2">
      <c r="A201" s="2">
        <v>5891</v>
      </c>
      <c r="B201" s="5" t="s">
        <v>381</v>
      </c>
      <c r="C201" s="6" t="s">
        <v>37</v>
      </c>
      <c r="D201" s="6" t="s">
        <v>402</v>
      </c>
      <c r="E201" s="6" t="s">
        <v>28</v>
      </c>
      <c r="F201" s="6" t="s">
        <v>61</v>
      </c>
      <c r="G201" s="6" t="s">
        <v>414</v>
      </c>
    </row>
    <row r="202" spans="1:7" x14ac:dyDescent="0.2">
      <c r="A202" s="2">
        <v>5893</v>
      </c>
      <c r="B202" s="5" t="s">
        <v>397</v>
      </c>
      <c r="C202" s="5" t="s">
        <v>17</v>
      </c>
      <c r="D202" s="6" t="s">
        <v>402</v>
      </c>
      <c r="E202" s="6" t="s">
        <v>14</v>
      </c>
      <c r="F202" s="6" t="s">
        <v>45</v>
      </c>
      <c r="G202" s="6" t="s">
        <v>431</v>
      </c>
    </row>
    <row r="203" spans="1:7" x14ac:dyDescent="0.2">
      <c r="A203" s="2">
        <v>5978</v>
      </c>
      <c r="B203" s="5" t="s">
        <v>382</v>
      </c>
      <c r="C203" s="5" t="s">
        <v>26</v>
      </c>
      <c r="D203" s="6" t="s">
        <v>391</v>
      </c>
      <c r="E203" s="6" t="s">
        <v>56</v>
      </c>
      <c r="F203" s="6" t="s">
        <v>57</v>
      </c>
      <c r="G203" s="6" t="s">
        <v>414</v>
      </c>
    </row>
    <row r="204" spans="1:7" x14ac:dyDescent="0.2">
      <c r="A204" s="2">
        <v>6002</v>
      </c>
      <c r="B204" s="5" t="s">
        <v>392</v>
      </c>
      <c r="C204" s="6" t="s">
        <v>37</v>
      </c>
      <c r="D204" s="6" t="s">
        <v>402</v>
      </c>
      <c r="E204" s="6" t="s">
        <v>28</v>
      </c>
      <c r="F204" s="6" t="s">
        <v>61</v>
      </c>
      <c r="G204" s="6" t="s">
        <v>414</v>
      </c>
    </row>
    <row r="205" spans="1:7" x14ac:dyDescent="0.2">
      <c r="A205" s="2">
        <v>6007</v>
      </c>
      <c r="B205" s="5" t="s">
        <v>381</v>
      </c>
      <c r="C205" s="5" t="s">
        <v>83</v>
      </c>
      <c r="D205" s="6" t="s">
        <v>402</v>
      </c>
      <c r="E205" s="6" t="s">
        <v>28</v>
      </c>
      <c r="F205" s="6" t="s">
        <v>61</v>
      </c>
      <c r="G205" s="6" t="s">
        <v>414</v>
      </c>
    </row>
    <row r="206" spans="1:7" x14ac:dyDescent="0.2">
      <c r="A206" s="2">
        <v>6026</v>
      </c>
      <c r="B206" s="5" t="s">
        <v>381</v>
      </c>
      <c r="C206" s="5" t="s">
        <v>83</v>
      </c>
      <c r="D206" s="6" t="s">
        <v>402</v>
      </c>
      <c r="E206" s="6" t="s">
        <v>28</v>
      </c>
      <c r="F206" s="6" t="s">
        <v>61</v>
      </c>
      <c r="G206" s="6" t="s">
        <v>414</v>
      </c>
    </row>
    <row r="207" spans="1:7" x14ac:dyDescent="0.2">
      <c r="A207" s="2">
        <v>6121</v>
      </c>
      <c r="B207" s="5" t="s">
        <v>381</v>
      </c>
      <c r="C207" s="6" t="s">
        <v>37</v>
      </c>
      <c r="D207" s="6" t="s">
        <v>402</v>
      </c>
      <c r="E207" s="6" t="s">
        <v>56</v>
      </c>
      <c r="F207" s="6" t="s">
        <v>22</v>
      </c>
      <c r="G207" s="6" t="s">
        <v>406</v>
      </c>
    </row>
    <row r="208" spans="1:7" x14ac:dyDescent="0.2">
      <c r="A208" s="2">
        <v>6126</v>
      </c>
      <c r="B208" s="5" t="s">
        <v>381</v>
      </c>
      <c r="C208" s="5" t="s">
        <v>17</v>
      </c>
      <c r="D208" s="6" t="s">
        <v>402</v>
      </c>
      <c r="E208" s="6" t="s">
        <v>28</v>
      </c>
      <c r="F208" s="6" t="s">
        <v>61</v>
      </c>
      <c r="G208" s="6" t="s">
        <v>414</v>
      </c>
    </row>
    <row r="209" spans="1:7" x14ac:dyDescent="0.2">
      <c r="A209" s="2">
        <v>6131</v>
      </c>
      <c r="B209" s="5" t="s">
        <v>381</v>
      </c>
      <c r="C209" s="5" t="s">
        <v>17</v>
      </c>
      <c r="D209" s="6" t="s">
        <v>391</v>
      </c>
      <c r="E209" s="6" t="s">
        <v>28</v>
      </c>
      <c r="F209" s="6" t="s">
        <v>73</v>
      </c>
      <c r="G209" s="6" t="s">
        <v>421</v>
      </c>
    </row>
    <row r="210" spans="1:7" x14ac:dyDescent="0.2">
      <c r="A210" s="2">
        <v>6168</v>
      </c>
      <c r="B210" s="5" t="s">
        <v>381</v>
      </c>
      <c r="C210" s="5" t="s">
        <v>17</v>
      </c>
      <c r="D210" s="6" t="s">
        <v>148</v>
      </c>
      <c r="E210" s="6" t="s">
        <v>429</v>
      </c>
      <c r="F210" s="6" t="s">
        <v>80</v>
      </c>
      <c r="G210" s="6" t="s">
        <v>406</v>
      </c>
    </row>
    <row r="211" spans="1:7" x14ac:dyDescent="0.2">
      <c r="A211" s="2">
        <v>6279</v>
      </c>
      <c r="B211" s="5" t="s">
        <v>392</v>
      </c>
      <c r="C211" s="5" t="s">
        <v>148</v>
      </c>
      <c r="D211" s="6" t="s">
        <v>55</v>
      </c>
      <c r="E211" s="6" t="s">
        <v>429</v>
      </c>
      <c r="F211" s="6" t="s">
        <v>38</v>
      </c>
      <c r="G211" s="6" t="s">
        <v>406</v>
      </c>
    </row>
    <row r="212" spans="1:7" x14ac:dyDescent="0.2">
      <c r="A212" s="2">
        <v>6297</v>
      </c>
      <c r="B212" s="5" t="s">
        <v>392</v>
      </c>
      <c r="C212" s="5" t="s">
        <v>148</v>
      </c>
      <c r="D212" s="6" t="s">
        <v>55</v>
      </c>
      <c r="E212" s="6" t="s">
        <v>21</v>
      </c>
      <c r="F212" s="6" t="s">
        <v>80</v>
      </c>
      <c r="G212" s="6" t="s">
        <v>406</v>
      </c>
    </row>
    <row r="213" spans="1:7" x14ac:dyDescent="0.2">
      <c r="A213" s="2">
        <v>6382</v>
      </c>
      <c r="B213" s="5" t="s">
        <v>392</v>
      </c>
      <c r="C213" s="5" t="s">
        <v>26</v>
      </c>
      <c r="D213" s="6" t="s">
        <v>402</v>
      </c>
      <c r="E213" s="6" t="s">
        <v>28</v>
      </c>
      <c r="F213" s="6" t="s">
        <v>45</v>
      </c>
      <c r="G213" s="6" t="s">
        <v>431</v>
      </c>
    </row>
    <row r="214" spans="1:7" x14ac:dyDescent="0.2">
      <c r="A214" s="2">
        <v>6408</v>
      </c>
      <c r="B214" s="5" t="s">
        <v>392</v>
      </c>
      <c r="C214" s="6" t="s">
        <v>37</v>
      </c>
      <c r="D214" s="6" t="s">
        <v>402</v>
      </c>
      <c r="E214" s="6" t="s">
        <v>28</v>
      </c>
      <c r="F214" s="6" t="s">
        <v>113</v>
      </c>
      <c r="G214" s="6" t="s">
        <v>430</v>
      </c>
    </row>
    <row r="215" spans="1:7" x14ac:dyDescent="0.2">
      <c r="A215" s="2">
        <v>6413</v>
      </c>
      <c r="B215" s="5" t="s">
        <v>381</v>
      </c>
      <c r="C215" s="5" t="s">
        <v>55</v>
      </c>
      <c r="D215" s="6" t="s">
        <v>402</v>
      </c>
      <c r="E215" s="6" t="s">
        <v>21</v>
      </c>
      <c r="F215" s="6" t="s">
        <v>41</v>
      </c>
      <c r="G215" s="6" t="s">
        <v>430</v>
      </c>
    </row>
    <row r="216" spans="1:7" x14ac:dyDescent="0.2">
      <c r="A216" s="2">
        <v>6468</v>
      </c>
      <c r="B216" s="5" t="s">
        <v>381</v>
      </c>
      <c r="C216" s="5" t="s">
        <v>83</v>
      </c>
      <c r="D216" s="6" t="s">
        <v>402</v>
      </c>
      <c r="E216" s="6" t="s">
        <v>28</v>
      </c>
      <c r="F216" s="6" t="s">
        <v>61</v>
      </c>
      <c r="G216" s="6" t="s">
        <v>414</v>
      </c>
    </row>
    <row r="217" spans="1:7" x14ac:dyDescent="0.2">
      <c r="A217" s="2">
        <v>6522</v>
      </c>
      <c r="B217" s="5" t="s">
        <v>381</v>
      </c>
      <c r="C217" s="5" t="s">
        <v>83</v>
      </c>
      <c r="D217" s="6" t="s">
        <v>402</v>
      </c>
      <c r="E217" s="6" t="s">
        <v>28</v>
      </c>
      <c r="F217" s="6" t="s">
        <v>61</v>
      </c>
      <c r="G217" s="6" t="s">
        <v>414</v>
      </c>
    </row>
    <row r="218" spans="1:7" x14ac:dyDescent="0.2">
      <c r="A218" s="2">
        <v>6550</v>
      </c>
      <c r="B218" s="5" t="s">
        <v>392</v>
      </c>
      <c r="C218" s="5" t="s">
        <v>83</v>
      </c>
      <c r="D218" s="6" t="s">
        <v>402</v>
      </c>
      <c r="E218" s="6" t="s">
        <v>28</v>
      </c>
      <c r="F218" s="6" t="s">
        <v>61</v>
      </c>
      <c r="G218" s="6" t="s">
        <v>414</v>
      </c>
    </row>
    <row r="219" spans="1:7" x14ac:dyDescent="0.2">
      <c r="A219" s="2">
        <v>6552</v>
      </c>
      <c r="B219" s="5" t="s">
        <v>381</v>
      </c>
      <c r="C219" s="5" t="s">
        <v>148</v>
      </c>
      <c r="D219" s="6" t="s">
        <v>402</v>
      </c>
      <c r="E219" s="6" t="s">
        <v>429</v>
      </c>
      <c r="F219" s="6"/>
      <c r="G219" s="6"/>
    </row>
    <row r="220" spans="1:7" ht="16" x14ac:dyDescent="0.2">
      <c r="A220" s="41">
        <v>6563</v>
      </c>
      <c r="B220" s="6" t="s">
        <v>397</v>
      </c>
      <c r="C220" s="6" t="s">
        <v>17</v>
      </c>
      <c r="D220" s="6" t="s">
        <v>402</v>
      </c>
      <c r="E220" s="6" t="s">
        <v>56</v>
      </c>
      <c r="F220" s="6" t="s">
        <v>495</v>
      </c>
      <c r="G220" s="42"/>
    </row>
    <row r="221" spans="1:7" x14ac:dyDescent="0.2">
      <c r="A221" s="41">
        <v>6588</v>
      </c>
      <c r="B221" s="6" t="s">
        <v>381</v>
      </c>
      <c r="C221" s="6" t="s">
        <v>83</v>
      </c>
      <c r="D221" s="6" t="s">
        <v>402</v>
      </c>
      <c r="E221" s="6" t="s">
        <v>28</v>
      </c>
      <c r="F221" s="6" t="s">
        <v>61</v>
      </c>
      <c r="G221" s="6" t="s">
        <v>414</v>
      </c>
    </row>
    <row r="222" spans="1:7" ht="16" x14ac:dyDescent="0.2">
      <c r="A222" s="41">
        <v>6601</v>
      </c>
      <c r="B222" s="6" t="s">
        <v>381</v>
      </c>
      <c r="C222" s="6" t="s">
        <v>148</v>
      </c>
      <c r="D222" s="6" t="s">
        <v>396</v>
      </c>
      <c r="E222" s="6" t="s">
        <v>429</v>
      </c>
      <c r="F222" s="6" t="s">
        <v>495</v>
      </c>
      <c r="G222" s="42"/>
    </row>
    <row r="223" spans="1:7" ht="16" x14ac:dyDescent="0.2">
      <c r="A223" s="41">
        <v>6619</v>
      </c>
      <c r="B223" s="6" t="s">
        <v>397</v>
      </c>
      <c r="C223" s="6" t="s">
        <v>17</v>
      </c>
      <c r="D223" s="6" t="s">
        <v>402</v>
      </c>
      <c r="E223" s="6" t="s">
        <v>496</v>
      </c>
      <c r="F223" s="6" t="s">
        <v>495</v>
      </c>
      <c r="G223" s="42"/>
    </row>
    <row r="224" spans="1:7" ht="16" x14ac:dyDescent="0.2">
      <c r="A224" s="41">
        <v>6629</v>
      </c>
      <c r="B224" s="6" t="s">
        <v>397</v>
      </c>
      <c r="C224" s="6" t="s">
        <v>17</v>
      </c>
      <c r="D224" s="6" t="s">
        <v>396</v>
      </c>
      <c r="E224" s="6" t="s">
        <v>429</v>
      </c>
      <c r="F224" s="6" t="s">
        <v>495</v>
      </c>
      <c r="G224" s="42"/>
    </row>
    <row r="225" spans="1:14" x14ac:dyDescent="0.2">
      <c r="A225" s="41">
        <v>6737</v>
      </c>
      <c r="B225" s="6" t="s">
        <v>392</v>
      </c>
      <c r="C225" s="6" t="s">
        <v>17</v>
      </c>
      <c r="D225" s="6" t="s">
        <v>402</v>
      </c>
      <c r="E225" s="6" t="s">
        <v>28</v>
      </c>
      <c r="F225" s="6" t="s">
        <v>61</v>
      </c>
      <c r="G225" s="6" t="s">
        <v>414</v>
      </c>
      <c r="H225" s="5"/>
      <c r="I225" s="5"/>
      <c r="J225" s="6"/>
      <c r="K225" s="6"/>
      <c r="L225" s="6"/>
      <c r="M225" s="6"/>
      <c r="N225" s="6"/>
    </row>
    <row r="226" spans="1:14" x14ac:dyDescent="0.2">
      <c r="A226" s="41">
        <v>6929</v>
      </c>
      <c r="B226" s="6" t="s">
        <v>392</v>
      </c>
      <c r="C226" s="6" t="s">
        <v>391</v>
      </c>
      <c r="D226" s="6" t="s">
        <v>402</v>
      </c>
      <c r="E226" s="6" t="s">
        <v>21</v>
      </c>
      <c r="F226" s="6" t="s">
        <v>130</v>
      </c>
      <c r="G226" s="6" t="s">
        <v>406</v>
      </c>
    </row>
    <row r="227" spans="1:14" x14ac:dyDescent="0.2">
      <c r="A227" s="41">
        <v>6988</v>
      </c>
      <c r="B227" s="6" t="s">
        <v>397</v>
      </c>
      <c r="C227" s="6" t="s">
        <v>37</v>
      </c>
      <c r="D227" s="6" t="s">
        <v>391</v>
      </c>
      <c r="E227" s="6" t="s">
        <v>429</v>
      </c>
      <c r="F227" s="6" t="s">
        <v>68</v>
      </c>
      <c r="G227" s="6" t="s">
        <v>430</v>
      </c>
    </row>
    <row r="228" spans="1:14" x14ac:dyDescent="0.2">
      <c r="A228" s="41">
        <v>7256</v>
      </c>
      <c r="B228" s="6" t="s">
        <v>397</v>
      </c>
      <c r="C228" s="6" t="s">
        <v>37</v>
      </c>
      <c r="D228" s="6" t="s">
        <v>391</v>
      </c>
      <c r="E228" s="6" t="s">
        <v>429</v>
      </c>
      <c r="F228" s="6" t="s">
        <v>68</v>
      </c>
      <c r="G228" s="6" t="s">
        <v>430</v>
      </c>
    </row>
    <row r="229" spans="1:14" x14ac:dyDescent="0.2">
      <c r="A229" s="41">
        <v>7264</v>
      </c>
      <c r="B229" s="6" t="s">
        <v>392</v>
      </c>
      <c r="C229" s="6" t="s">
        <v>497</v>
      </c>
      <c r="D229" s="6" t="s">
        <v>402</v>
      </c>
      <c r="E229" s="6" t="s">
        <v>28</v>
      </c>
      <c r="F229" s="6" t="s">
        <v>45</v>
      </c>
      <c r="G229" s="6" t="s">
        <v>430</v>
      </c>
    </row>
    <row r="230" spans="1:14" x14ac:dyDescent="0.2">
      <c r="A230" s="41">
        <v>7289</v>
      </c>
      <c r="B230" s="6" t="s">
        <v>392</v>
      </c>
      <c r="C230" s="6" t="s">
        <v>37</v>
      </c>
      <c r="D230" s="6" t="s">
        <v>391</v>
      </c>
      <c r="E230" s="6" t="s">
        <v>21</v>
      </c>
      <c r="F230" s="6" t="s">
        <v>68</v>
      </c>
      <c r="G230" s="6" t="s">
        <v>430</v>
      </c>
    </row>
    <row r="231" spans="1:14" x14ac:dyDescent="0.2">
      <c r="A231" s="2">
        <v>7316</v>
      </c>
      <c r="B231" s="5" t="s">
        <v>392</v>
      </c>
      <c r="C231" s="5" t="s">
        <v>17</v>
      </c>
      <c r="D231" s="6" t="s">
        <v>402</v>
      </c>
      <c r="E231" s="6" t="s">
        <v>28</v>
      </c>
      <c r="F231" s="6" t="s">
        <v>61</v>
      </c>
      <c r="G231" s="6" t="s">
        <v>414</v>
      </c>
    </row>
    <row r="232" spans="1:14" ht="16" x14ac:dyDescent="0.2">
      <c r="A232" s="7">
        <v>6955</v>
      </c>
      <c r="B232" s="5" t="s">
        <v>392</v>
      </c>
      <c r="C232" s="5" t="s">
        <v>17</v>
      </c>
      <c r="D232" s="6" t="s">
        <v>402</v>
      </c>
      <c r="E232" s="8" t="s">
        <v>429</v>
      </c>
      <c r="F232" s="6" t="s">
        <v>61</v>
      </c>
      <c r="G232" s="6" t="s">
        <v>414</v>
      </c>
    </row>
    <row r="233" spans="1:14" ht="16" x14ac:dyDescent="0.2">
      <c r="A233" s="7">
        <v>4746</v>
      </c>
      <c r="B233" s="5" t="s">
        <v>397</v>
      </c>
      <c r="C233" s="8" t="s">
        <v>33</v>
      </c>
      <c r="D233" s="6" t="s">
        <v>402</v>
      </c>
      <c r="E233" s="8" t="s">
        <v>429</v>
      </c>
      <c r="F233" s="6" t="s">
        <v>45</v>
      </c>
      <c r="G233" s="6" t="s">
        <v>430</v>
      </c>
    </row>
    <row r="234" spans="1:14" ht="16" x14ac:dyDescent="0.2">
      <c r="A234" s="7">
        <v>1485</v>
      </c>
      <c r="B234" s="8" t="s">
        <v>392</v>
      </c>
      <c r="C234" s="6" t="s">
        <v>37</v>
      </c>
      <c r="D234" s="6" t="s">
        <v>402</v>
      </c>
      <c r="E234" s="8" t="s">
        <v>429</v>
      </c>
      <c r="F234" s="6"/>
      <c r="G234" s="6" t="s">
        <v>406</v>
      </c>
    </row>
    <row r="235" spans="1:14" ht="16" x14ac:dyDescent="0.2">
      <c r="A235" s="7">
        <v>9768</v>
      </c>
      <c r="B235" s="8" t="s">
        <v>392</v>
      </c>
      <c r="C235" s="6" t="s">
        <v>37</v>
      </c>
      <c r="D235" s="6" t="s">
        <v>391</v>
      </c>
      <c r="E235" s="6" t="s">
        <v>28</v>
      </c>
      <c r="F235" s="8" t="s">
        <v>24</v>
      </c>
      <c r="G235" s="8" t="s">
        <v>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8123-DD37-B646-95F3-B076E412B125}">
  <dimension ref="A1:G61"/>
  <sheetViews>
    <sheetView topLeftCell="A11" workbookViewId="0">
      <selection activeCell="B40" sqref="B40"/>
    </sheetView>
  </sheetViews>
  <sheetFormatPr baseColWidth="10" defaultRowHeight="15" x14ac:dyDescent="0.2"/>
  <cols>
    <col min="1" max="7" width="34.6640625" customWidth="1"/>
  </cols>
  <sheetData>
    <row r="1" spans="1:7" x14ac:dyDescent="0.2">
      <c r="A1" s="41" t="s">
        <v>0</v>
      </c>
      <c r="B1" s="41" t="s">
        <v>474</v>
      </c>
      <c r="C1" s="41" t="s">
        <v>383</v>
      </c>
      <c r="D1" s="41" t="s">
        <v>384</v>
      </c>
      <c r="E1" s="41" t="s">
        <v>385</v>
      </c>
      <c r="F1" s="41" t="s">
        <v>386</v>
      </c>
      <c r="G1" s="41" t="s">
        <v>387</v>
      </c>
    </row>
    <row r="2" spans="1:7" x14ac:dyDescent="0.2">
      <c r="A2" s="41">
        <v>5178</v>
      </c>
      <c r="B2" s="6" t="s">
        <v>392</v>
      </c>
      <c r="C2" s="6" t="s">
        <v>26</v>
      </c>
      <c r="D2" s="6" t="s">
        <v>402</v>
      </c>
      <c r="E2" s="6" t="s">
        <v>21</v>
      </c>
      <c r="F2" s="6" t="s">
        <v>61</v>
      </c>
      <c r="G2" s="6" t="s">
        <v>414</v>
      </c>
    </row>
    <row r="3" spans="1:7" x14ac:dyDescent="0.2">
      <c r="A3" s="41">
        <v>5185</v>
      </c>
      <c r="B3" s="6" t="s">
        <v>392</v>
      </c>
      <c r="C3" s="6" t="s">
        <v>17</v>
      </c>
      <c r="D3" s="6" t="s">
        <v>402</v>
      </c>
      <c r="E3" s="6" t="s">
        <v>28</v>
      </c>
      <c r="F3" s="6" t="s">
        <v>61</v>
      </c>
      <c r="G3" s="6" t="s">
        <v>414</v>
      </c>
    </row>
    <row r="4" spans="1:7" x14ac:dyDescent="0.2">
      <c r="A4" s="41">
        <v>5264</v>
      </c>
      <c r="B4" s="6" t="s">
        <v>381</v>
      </c>
      <c r="C4" s="6" t="s">
        <v>26</v>
      </c>
      <c r="D4" s="6" t="s">
        <v>391</v>
      </c>
      <c r="E4" s="6" t="s">
        <v>21</v>
      </c>
      <c r="F4" s="6" t="s">
        <v>29</v>
      </c>
      <c r="G4" s="6" t="s">
        <v>414</v>
      </c>
    </row>
    <row r="5" spans="1:7" x14ac:dyDescent="0.2">
      <c r="A5" s="41">
        <v>5265</v>
      </c>
      <c r="B5" s="6" t="s">
        <v>381</v>
      </c>
      <c r="C5" s="6" t="s">
        <v>37</v>
      </c>
      <c r="D5" s="6" t="s">
        <v>391</v>
      </c>
      <c r="E5" s="6" t="s">
        <v>21</v>
      </c>
      <c r="F5" s="6" t="s">
        <v>29</v>
      </c>
      <c r="G5" s="6" t="s">
        <v>414</v>
      </c>
    </row>
    <row r="6" spans="1:7" x14ac:dyDescent="0.2">
      <c r="A6" s="41">
        <v>5300</v>
      </c>
      <c r="B6" s="6" t="s">
        <v>392</v>
      </c>
      <c r="C6" s="6" t="s">
        <v>37</v>
      </c>
      <c r="D6" s="6" t="s">
        <v>402</v>
      </c>
      <c r="E6" s="6" t="s">
        <v>28</v>
      </c>
      <c r="F6" s="6" t="s">
        <v>61</v>
      </c>
      <c r="G6" s="6" t="s">
        <v>414</v>
      </c>
    </row>
    <row r="7" spans="1:7" x14ac:dyDescent="0.2">
      <c r="A7" s="41">
        <v>5312</v>
      </c>
      <c r="B7" s="6" t="s">
        <v>392</v>
      </c>
      <c r="C7" s="6" t="s">
        <v>37</v>
      </c>
      <c r="D7" s="6" t="s">
        <v>402</v>
      </c>
      <c r="E7" s="6" t="s">
        <v>28</v>
      </c>
      <c r="F7" s="6" t="s">
        <v>61</v>
      </c>
      <c r="G7" s="6" t="s">
        <v>414</v>
      </c>
    </row>
    <row r="8" spans="1:7" x14ac:dyDescent="0.2">
      <c r="A8" s="41">
        <v>5331</v>
      </c>
      <c r="B8" s="6" t="s">
        <v>392</v>
      </c>
      <c r="C8" s="6" t="s">
        <v>83</v>
      </c>
      <c r="D8" s="6" t="s">
        <v>402</v>
      </c>
      <c r="E8" s="6" t="s">
        <v>28</v>
      </c>
      <c r="F8" s="6" t="s">
        <v>61</v>
      </c>
      <c r="G8" s="6" t="s">
        <v>414</v>
      </c>
    </row>
    <row r="9" spans="1:7" x14ac:dyDescent="0.2">
      <c r="A9" s="41">
        <v>5338</v>
      </c>
      <c r="B9" s="6" t="s">
        <v>397</v>
      </c>
      <c r="C9" s="6" t="s">
        <v>148</v>
      </c>
      <c r="D9" s="6" t="s">
        <v>396</v>
      </c>
      <c r="E9" s="6" t="s">
        <v>429</v>
      </c>
      <c r="F9" s="6" t="s">
        <v>81</v>
      </c>
      <c r="G9" s="6" t="s">
        <v>430</v>
      </c>
    </row>
    <row r="10" spans="1:7" x14ac:dyDescent="0.2">
      <c r="A10" s="41">
        <v>5344</v>
      </c>
      <c r="B10" s="6" t="s">
        <v>392</v>
      </c>
      <c r="C10" s="6" t="s">
        <v>17</v>
      </c>
      <c r="D10" s="6" t="s">
        <v>402</v>
      </c>
      <c r="E10" s="6" t="s">
        <v>28</v>
      </c>
      <c r="F10" s="6" t="s">
        <v>61</v>
      </c>
      <c r="G10" s="6" t="s">
        <v>414</v>
      </c>
    </row>
    <row r="11" spans="1:7" x14ac:dyDescent="0.2">
      <c r="A11" s="41">
        <v>5371</v>
      </c>
      <c r="B11" s="6" t="s">
        <v>392</v>
      </c>
      <c r="C11" s="6" t="s">
        <v>17</v>
      </c>
      <c r="D11" s="6" t="s">
        <v>402</v>
      </c>
      <c r="E11" s="6" t="s">
        <v>28</v>
      </c>
      <c r="F11" s="6" t="s">
        <v>61</v>
      </c>
      <c r="G11" s="6" t="s">
        <v>414</v>
      </c>
    </row>
    <row r="12" spans="1:7" x14ac:dyDescent="0.2">
      <c r="A12" s="41">
        <v>5518</v>
      </c>
      <c r="B12" s="6" t="s">
        <v>392</v>
      </c>
      <c r="C12" s="6" t="s">
        <v>26</v>
      </c>
      <c r="D12" s="6" t="s">
        <v>402</v>
      </c>
      <c r="E12" s="6" t="s">
        <v>28</v>
      </c>
      <c r="F12" s="6" t="s">
        <v>61</v>
      </c>
      <c r="G12" s="6" t="s">
        <v>414</v>
      </c>
    </row>
    <row r="13" spans="1:7" x14ac:dyDescent="0.2">
      <c r="A13" s="41">
        <v>5661</v>
      </c>
      <c r="B13" s="6" t="s">
        <v>392</v>
      </c>
      <c r="C13" s="6" t="s">
        <v>396</v>
      </c>
      <c r="D13" s="6" t="s">
        <v>55</v>
      </c>
      <c r="E13" s="6" t="s">
        <v>56</v>
      </c>
      <c r="F13" s="6" t="s">
        <v>49</v>
      </c>
      <c r="G13" s="6" t="s">
        <v>427</v>
      </c>
    </row>
    <row r="14" spans="1:7" x14ac:dyDescent="0.2">
      <c r="A14" s="41">
        <v>5699</v>
      </c>
      <c r="B14" s="6" t="s">
        <v>392</v>
      </c>
      <c r="C14" s="6" t="s">
        <v>17</v>
      </c>
      <c r="D14" s="6" t="s">
        <v>396</v>
      </c>
      <c r="E14" s="6" t="s">
        <v>14</v>
      </c>
      <c r="F14" s="6" t="s">
        <v>82</v>
      </c>
      <c r="G14" s="6" t="s">
        <v>427</v>
      </c>
    </row>
    <row r="15" spans="1:7" x14ac:dyDescent="0.2">
      <c r="A15" s="41">
        <v>5733</v>
      </c>
      <c r="B15" s="6" t="s">
        <v>397</v>
      </c>
      <c r="C15" s="6" t="s">
        <v>148</v>
      </c>
      <c r="D15" s="6" t="s">
        <v>402</v>
      </c>
      <c r="E15" s="6" t="s">
        <v>21</v>
      </c>
      <c r="F15" s="6" t="s">
        <v>68</v>
      </c>
      <c r="G15" s="6" t="s">
        <v>430</v>
      </c>
    </row>
    <row r="16" spans="1:7" x14ac:dyDescent="0.2">
      <c r="A16" s="41">
        <v>5771</v>
      </c>
      <c r="B16" s="6" t="s">
        <v>397</v>
      </c>
      <c r="C16" s="6" t="s">
        <v>17</v>
      </c>
      <c r="D16" s="6" t="s">
        <v>396</v>
      </c>
      <c r="E16" s="6" t="s">
        <v>21</v>
      </c>
      <c r="F16" s="6" t="s">
        <v>80</v>
      </c>
      <c r="G16" s="6" t="s">
        <v>406</v>
      </c>
    </row>
    <row r="17" spans="1:7" x14ac:dyDescent="0.2">
      <c r="A17" s="41">
        <v>5796</v>
      </c>
      <c r="B17" s="6" t="s">
        <v>392</v>
      </c>
      <c r="C17" s="6" t="s">
        <v>37</v>
      </c>
      <c r="D17" s="6" t="s">
        <v>402</v>
      </c>
      <c r="E17" s="6" t="s">
        <v>28</v>
      </c>
      <c r="F17" s="6" t="s">
        <v>61</v>
      </c>
      <c r="G17" s="6" t="s">
        <v>414</v>
      </c>
    </row>
    <row r="18" spans="1:7" x14ac:dyDescent="0.2">
      <c r="A18" s="41">
        <v>5807</v>
      </c>
      <c r="B18" s="6" t="s">
        <v>397</v>
      </c>
      <c r="C18" s="6" t="s">
        <v>17</v>
      </c>
      <c r="D18" s="6" t="s">
        <v>391</v>
      </c>
      <c r="E18" s="6" t="s">
        <v>28</v>
      </c>
      <c r="F18" s="6" t="s">
        <v>29</v>
      </c>
      <c r="G18" s="6" t="s">
        <v>414</v>
      </c>
    </row>
    <row r="19" spans="1:7" x14ac:dyDescent="0.2">
      <c r="A19" s="41">
        <v>5810</v>
      </c>
      <c r="B19" s="6" t="s">
        <v>397</v>
      </c>
      <c r="C19" s="6" t="s">
        <v>17</v>
      </c>
      <c r="D19" s="6" t="s">
        <v>391</v>
      </c>
      <c r="E19" s="6" t="s">
        <v>14</v>
      </c>
      <c r="F19" s="6" t="s">
        <v>38</v>
      </c>
      <c r="G19" s="6" t="s">
        <v>406</v>
      </c>
    </row>
    <row r="20" spans="1:7" x14ac:dyDescent="0.2">
      <c r="A20" s="41">
        <v>5844</v>
      </c>
      <c r="B20" s="6" t="s">
        <v>397</v>
      </c>
      <c r="C20" s="6" t="s">
        <v>33</v>
      </c>
      <c r="D20" s="6" t="s">
        <v>396</v>
      </c>
      <c r="E20" s="6" t="s">
        <v>21</v>
      </c>
      <c r="F20" s="6" t="s">
        <v>29</v>
      </c>
      <c r="G20" s="6" t="s">
        <v>414</v>
      </c>
    </row>
    <row r="21" spans="1:7" x14ac:dyDescent="0.2">
      <c r="A21" s="41">
        <v>5891</v>
      </c>
      <c r="B21" s="6" t="s">
        <v>392</v>
      </c>
      <c r="C21" s="6" t="s">
        <v>37</v>
      </c>
      <c r="D21" s="6" t="s">
        <v>402</v>
      </c>
      <c r="E21" s="6" t="s">
        <v>28</v>
      </c>
      <c r="F21" s="6" t="s">
        <v>61</v>
      </c>
      <c r="G21" s="6" t="s">
        <v>414</v>
      </c>
    </row>
    <row r="22" spans="1:7" x14ac:dyDescent="0.2">
      <c r="A22" s="41">
        <v>5893</v>
      </c>
      <c r="B22" s="6" t="s">
        <v>397</v>
      </c>
      <c r="C22" s="6" t="s">
        <v>17</v>
      </c>
      <c r="D22" s="6" t="s">
        <v>402</v>
      </c>
      <c r="E22" s="6" t="s">
        <v>14</v>
      </c>
      <c r="F22" s="6" t="s">
        <v>45</v>
      </c>
      <c r="G22" s="6" t="s">
        <v>431</v>
      </c>
    </row>
    <row r="23" spans="1:7" x14ac:dyDescent="0.2">
      <c r="A23" s="41">
        <v>5978</v>
      </c>
      <c r="B23" s="6" t="s">
        <v>397</v>
      </c>
      <c r="C23" s="6" t="s">
        <v>26</v>
      </c>
      <c r="D23" s="6" t="s">
        <v>391</v>
      </c>
      <c r="E23" s="6" t="s">
        <v>56</v>
      </c>
      <c r="F23" s="6" t="s">
        <v>57</v>
      </c>
      <c r="G23" s="6" t="s">
        <v>414</v>
      </c>
    </row>
    <row r="24" spans="1:7" x14ac:dyDescent="0.2">
      <c r="A24" s="41">
        <v>6002</v>
      </c>
      <c r="B24" s="6" t="s">
        <v>392</v>
      </c>
      <c r="C24" s="6" t="s">
        <v>37</v>
      </c>
      <c r="D24" s="6" t="s">
        <v>402</v>
      </c>
      <c r="E24" s="6" t="s">
        <v>28</v>
      </c>
      <c r="F24" s="6" t="s">
        <v>61</v>
      </c>
      <c r="G24" s="6" t="s">
        <v>414</v>
      </c>
    </row>
    <row r="25" spans="1:7" x14ac:dyDescent="0.2">
      <c r="A25" s="41">
        <v>6007</v>
      </c>
      <c r="B25" s="6" t="s">
        <v>381</v>
      </c>
      <c r="C25" s="6" t="s">
        <v>83</v>
      </c>
      <c r="D25" s="6" t="s">
        <v>402</v>
      </c>
      <c r="E25" s="6" t="s">
        <v>28</v>
      </c>
      <c r="F25" s="6" t="s">
        <v>61</v>
      </c>
      <c r="G25" s="6" t="s">
        <v>414</v>
      </c>
    </row>
    <row r="26" spans="1:7" x14ac:dyDescent="0.2">
      <c r="A26" s="41">
        <v>6026</v>
      </c>
      <c r="B26" s="6" t="s">
        <v>381</v>
      </c>
      <c r="C26" s="6" t="s">
        <v>83</v>
      </c>
      <c r="D26" s="6" t="s">
        <v>402</v>
      </c>
      <c r="E26" s="6" t="s">
        <v>28</v>
      </c>
      <c r="F26" s="6" t="s">
        <v>61</v>
      </c>
      <c r="G26" s="6" t="s">
        <v>414</v>
      </c>
    </row>
    <row r="27" spans="1:7" x14ac:dyDescent="0.2">
      <c r="A27" s="41">
        <v>6121</v>
      </c>
      <c r="B27" s="6" t="s">
        <v>381</v>
      </c>
      <c r="C27" s="6" t="s">
        <v>37</v>
      </c>
      <c r="D27" s="6" t="s">
        <v>402</v>
      </c>
      <c r="E27" s="6" t="s">
        <v>56</v>
      </c>
      <c r="F27" s="6" t="s">
        <v>22</v>
      </c>
      <c r="G27" s="6" t="s">
        <v>406</v>
      </c>
    </row>
    <row r="28" spans="1:7" x14ac:dyDescent="0.2">
      <c r="A28" s="41">
        <v>6126</v>
      </c>
      <c r="B28" s="6" t="s">
        <v>381</v>
      </c>
      <c r="C28" s="6" t="s">
        <v>17</v>
      </c>
      <c r="D28" s="6" t="s">
        <v>402</v>
      </c>
      <c r="E28" s="6" t="s">
        <v>28</v>
      </c>
      <c r="F28" s="6" t="s">
        <v>61</v>
      </c>
      <c r="G28" s="6" t="s">
        <v>414</v>
      </c>
    </row>
    <row r="29" spans="1:7" x14ac:dyDescent="0.2">
      <c r="A29" s="41">
        <v>6131</v>
      </c>
      <c r="B29" s="6" t="s">
        <v>381</v>
      </c>
      <c r="C29" s="6" t="s">
        <v>17</v>
      </c>
      <c r="D29" s="6" t="s">
        <v>391</v>
      </c>
      <c r="E29" s="6" t="s">
        <v>28</v>
      </c>
      <c r="F29" s="6" t="s">
        <v>73</v>
      </c>
      <c r="G29" s="6" t="s">
        <v>421</v>
      </c>
    </row>
    <row r="30" spans="1:7" x14ac:dyDescent="0.2">
      <c r="A30" s="41">
        <v>6168</v>
      </c>
      <c r="B30" s="6" t="s">
        <v>381</v>
      </c>
      <c r="C30" s="6" t="s">
        <v>17</v>
      </c>
      <c r="D30" s="6" t="s">
        <v>396</v>
      </c>
      <c r="E30" s="6" t="s">
        <v>429</v>
      </c>
      <c r="F30" s="6" t="s">
        <v>80</v>
      </c>
      <c r="G30" s="6" t="s">
        <v>406</v>
      </c>
    </row>
    <row r="31" spans="1:7" x14ac:dyDescent="0.2">
      <c r="A31" s="41">
        <v>6279</v>
      </c>
      <c r="B31" s="6" t="s">
        <v>392</v>
      </c>
      <c r="C31" s="6" t="s">
        <v>148</v>
      </c>
      <c r="D31" s="6" t="s">
        <v>55</v>
      </c>
      <c r="E31" s="6" t="s">
        <v>429</v>
      </c>
      <c r="F31" s="6" t="s">
        <v>38</v>
      </c>
      <c r="G31" s="6" t="s">
        <v>406</v>
      </c>
    </row>
    <row r="32" spans="1:7" x14ac:dyDescent="0.2">
      <c r="A32" s="41">
        <v>6297</v>
      </c>
      <c r="B32" s="6" t="s">
        <v>392</v>
      </c>
      <c r="C32" s="6" t="s">
        <v>148</v>
      </c>
      <c r="D32" s="6" t="s">
        <v>55</v>
      </c>
      <c r="E32" s="6" t="s">
        <v>21</v>
      </c>
      <c r="F32" s="6" t="s">
        <v>80</v>
      </c>
      <c r="G32" s="6" t="s">
        <v>406</v>
      </c>
    </row>
    <row r="33" spans="1:7" x14ac:dyDescent="0.2">
      <c r="A33" s="41">
        <v>6382</v>
      </c>
      <c r="B33" s="6" t="s">
        <v>392</v>
      </c>
      <c r="C33" s="6" t="s">
        <v>26</v>
      </c>
      <c r="D33" s="6" t="s">
        <v>402</v>
      </c>
      <c r="E33" s="6" t="s">
        <v>28</v>
      </c>
      <c r="F33" s="6" t="s">
        <v>45</v>
      </c>
      <c r="G33" s="6" t="s">
        <v>431</v>
      </c>
    </row>
    <row r="34" spans="1:7" x14ac:dyDescent="0.2">
      <c r="A34" s="41">
        <v>6408</v>
      </c>
      <c r="B34" s="6" t="s">
        <v>392</v>
      </c>
      <c r="C34" s="6" t="s">
        <v>37</v>
      </c>
      <c r="D34" s="6" t="s">
        <v>402</v>
      </c>
      <c r="E34" s="6" t="s">
        <v>28</v>
      </c>
      <c r="F34" s="6" t="s">
        <v>113</v>
      </c>
      <c r="G34" s="6" t="s">
        <v>430</v>
      </c>
    </row>
    <row r="35" spans="1:7" x14ac:dyDescent="0.2">
      <c r="A35" s="41">
        <v>6413</v>
      </c>
      <c r="B35" s="6" t="s">
        <v>381</v>
      </c>
      <c r="C35" s="6" t="s">
        <v>55</v>
      </c>
      <c r="D35" s="6" t="s">
        <v>402</v>
      </c>
      <c r="E35" s="6" t="s">
        <v>21</v>
      </c>
      <c r="F35" s="6" t="s">
        <v>41</v>
      </c>
      <c r="G35" s="6" t="s">
        <v>430</v>
      </c>
    </row>
    <row r="36" spans="1:7" x14ac:dyDescent="0.2">
      <c r="A36" s="41">
        <v>6468</v>
      </c>
      <c r="B36" s="6" t="s">
        <v>381</v>
      </c>
      <c r="C36" s="6" t="s">
        <v>83</v>
      </c>
      <c r="D36" s="6" t="s">
        <v>402</v>
      </c>
      <c r="E36" s="6" t="s">
        <v>28</v>
      </c>
      <c r="F36" s="6" t="s">
        <v>61</v>
      </c>
      <c r="G36" s="6" t="s">
        <v>414</v>
      </c>
    </row>
    <row r="37" spans="1:7" x14ac:dyDescent="0.2">
      <c r="A37" s="41">
        <v>6522</v>
      </c>
      <c r="B37" s="6" t="s">
        <v>381</v>
      </c>
      <c r="C37" s="6" t="s">
        <v>83</v>
      </c>
      <c r="D37" s="6" t="s">
        <v>402</v>
      </c>
      <c r="E37" s="6" t="s">
        <v>28</v>
      </c>
      <c r="F37" s="6" t="s">
        <v>61</v>
      </c>
      <c r="G37" s="6" t="s">
        <v>414</v>
      </c>
    </row>
    <row r="38" spans="1:7" x14ac:dyDescent="0.2">
      <c r="A38" s="41">
        <v>6550</v>
      </c>
      <c r="B38" s="6" t="s">
        <v>381</v>
      </c>
      <c r="C38" s="6" t="s">
        <v>83</v>
      </c>
      <c r="D38" s="6" t="s">
        <v>402</v>
      </c>
      <c r="E38" s="6" t="s">
        <v>28</v>
      </c>
      <c r="F38" s="6" t="s">
        <v>61</v>
      </c>
      <c r="G38" s="6" t="s">
        <v>414</v>
      </c>
    </row>
    <row r="39" spans="1:7" ht="16" x14ac:dyDescent="0.2">
      <c r="A39" s="41">
        <v>6552</v>
      </c>
      <c r="B39" s="6" t="s">
        <v>381</v>
      </c>
      <c r="C39" s="6" t="s">
        <v>148</v>
      </c>
      <c r="D39" s="6" t="s">
        <v>402</v>
      </c>
      <c r="E39" s="6" t="s">
        <v>429</v>
      </c>
      <c r="F39" s="42"/>
      <c r="G39" s="42"/>
    </row>
    <row r="40" spans="1:7" ht="16" x14ac:dyDescent="0.2">
      <c r="A40" s="41">
        <v>6563</v>
      </c>
      <c r="B40" s="6" t="s">
        <v>397</v>
      </c>
      <c r="C40" s="6" t="s">
        <v>17</v>
      </c>
      <c r="D40" s="6" t="s">
        <v>402</v>
      </c>
      <c r="E40" s="6" t="s">
        <v>56</v>
      </c>
      <c r="F40" s="6" t="s">
        <v>495</v>
      </c>
      <c r="G40" s="42"/>
    </row>
    <row r="41" spans="1:7" x14ac:dyDescent="0.2">
      <c r="A41" s="41">
        <v>6588</v>
      </c>
      <c r="B41" s="6" t="s">
        <v>381</v>
      </c>
      <c r="C41" s="6" t="s">
        <v>83</v>
      </c>
      <c r="D41" s="6" t="s">
        <v>402</v>
      </c>
      <c r="E41" s="6" t="s">
        <v>28</v>
      </c>
      <c r="F41" s="6" t="s">
        <v>61</v>
      </c>
      <c r="G41" s="6" t="s">
        <v>414</v>
      </c>
    </row>
    <row r="42" spans="1:7" ht="16" x14ac:dyDescent="0.2">
      <c r="A42" s="41">
        <v>6601</v>
      </c>
      <c r="B42" s="6" t="s">
        <v>381</v>
      </c>
      <c r="C42" s="6" t="s">
        <v>148</v>
      </c>
      <c r="D42" s="6" t="s">
        <v>396</v>
      </c>
      <c r="E42" s="6" t="s">
        <v>429</v>
      </c>
      <c r="F42" s="6" t="s">
        <v>495</v>
      </c>
      <c r="G42" s="42"/>
    </row>
    <row r="43" spans="1:7" ht="16" x14ac:dyDescent="0.2">
      <c r="A43" s="41">
        <v>6619</v>
      </c>
      <c r="B43" s="6" t="s">
        <v>397</v>
      </c>
      <c r="C43" s="6" t="s">
        <v>17</v>
      </c>
      <c r="D43" s="6" t="s">
        <v>402</v>
      </c>
      <c r="E43" s="6" t="s">
        <v>496</v>
      </c>
      <c r="F43" s="6" t="s">
        <v>495</v>
      </c>
      <c r="G43" s="42"/>
    </row>
    <row r="44" spans="1:7" ht="16" x14ac:dyDescent="0.2">
      <c r="A44" s="41">
        <v>6629</v>
      </c>
      <c r="B44" s="6" t="s">
        <v>397</v>
      </c>
      <c r="C44" s="6" t="s">
        <v>17</v>
      </c>
      <c r="D44" s="6" t="s">
        <v>396</v>
      </c>
      <c r="E44" s="6" t="s">
        <v>429</v>
      </c>
      <c r="F44" s="6" t="s">
        <v>495</v>
      </c>
      <c r="G44" s="42"/>
    </row>
    <row r="45" spans="1:7" x14ac:dyDescent="0.2">
      <c r="A45" s="41">
        <v>6737</v>
      </c>
      <c r="B45" s="6" t="s">
        <v>392</v>
      </c>
      <c r="C45" s="6" t="s">
        <v>17</v>
      </c>
      <c r="D45" s="6" t="s">
        <v>402</v>
      </c>
      <c r="E45" s="6" t="s">
        <v>28</v>
      </c>
      <c r="F45" s="6" t="s">
        <v>61</v>
      </c>
      <c r="G45" s="6" t="s">
        <v>414</v>
      </c>
    </row>
    <row r="46" spans="1:7" x14ac:dyDescent="0.2">
      <c r="A46" s="41">
        <v>6929</v>
      </c>
      <c r="B46" s="6" t="s">
        <v>392</v>
      </c>
      <c r="C46" s="6" t="s">
        <v>391</v>
      </c>
      <c r="D46" s="6" t="s">
        <v>402</v>
      </c>
      <c r="E46" s="6" t="s">
        <v>21</v>
      </c>
      <c r="F46" s="6" t="s">
        <v>130</v>
      </c>
      <c r="G46" s="6" t="s">
        <v>406</v>
      </c>
    </row>
    <row r="47" spans="1:7" x14ac:dyDescent="0.2">
      <c r="A47" s="41">
        <v>6988</v>
      </c>
      <c r="B47" s="6" t="s">
        <v>397</v>
      </c>
      <c r="C47" s="6" t="s">
        <v>37</v>
      </c>
      <c r="D47" s="6" t="s">
        <v>391</v>
      </c>
      <c r="E47" s="6" t="s">
        <v>429</v>
      </c>
      <c r="F47" s="6" t="s">
        <v>68</v>
      </c>
      <c r="G47" s="6" t="s">
        <v>430</v>
      </c>
    </row>
    <row r="48" spans="1:7" x14ac:dyDescent="0.2">
      <c r="A48" s="41">
        <v>7256</v>
      </c>
      <c r="B48" s="6" t="s">
        <v>397</v>
      </c>
      <c r="C48" s="6" t="s">
        <v>37</v>
      </c>
      <c r="D48" s="6" t="s">
        <v>391</v>
      </c>
      <c r="E48" s="6" t="s">
        <v>429</v>
      </c>
      <c r="F48" s="6" t="s">
        <v>68</v>
      </c>
      <c r="G48" s="6" t="s">
        <v>430</v>
      </c>
    </row>
    <row r="49" spans="1:7" x14ac:dyDescent="0.2">
      <c r="A49" s="41">
        <v>7264</v>
      </c>
      <c r="B49" s="6" t="s">
        <v>392</v>
      </c>
      <c r="C49" s="6" t="s">
        <v>497</v>
      </c>
      <c r="D49" s="6" t="s">
        <v>402</v>
      </c>
      <c r="E49" s="6" t="s">
        <v>28</v>
      </c>
      <c r="F49" s="6" t="s">
        <v>45</v>
      </c>
      <c r="G49" s="6" t="s">
        <v>430</v>
      </c>
    </row>
    <row r="50" spans="1:7" x14ac:dyDescent="0.2">
      <c r="A50" s="41">
        <v>7289</v>
      </c>
      <c r="B50" s="6" t="s">
        <v>392</v>
      </c>
      <c r="C50" s="6" t="s">
        <v>37</v>
      </c>
      <c r="D50" s="6" t="s">
        <v>391</v>
      </c>
      <c r="E50" s="6" t="s">
        <v>21</v>
      </c>
      <c r="F50" s="6" t="s">
        <v>68</v>
      </c>
      <c r="G50" s="6" t="s">
        <v>430</v>
      </c>
    </row>
    <row r="51" spans="1:7" x14ac:dyDescent="0.2">
      <c r="A51" s="41">
        <v>7316</v>
      </c>
      <c r="B51" s="6" t="s">
        <v>392</v>
      </c>
      <c r="C51" s="6" t="s">
        <v>17</v>
      </c>
      <c r="D51" s="6" t="s">
        <v>402</v>
      </c>
      <c r="E51" s="6" t="s">
        <v>28</v>
      </c>
      <c r="F51" s="6" t="s">
        <v>61</v>
      </c>
      <c r="G51" s="6" t="s">
        <v>414</v>
      </c>
    </row>
    <row r="52" spans="1:7" ht="16" x14ac:dyDescent="0.2">
      <c r="A52" s="43">
        <v>6955</v>
      </c>
      <c r="B52" s="6" t="s">
        <v>392</v>
      </c>
      <c r="C52" s="6" t="s">
        <v>17</v>
      </c>
      <c r="D52" s="6" t="s">
        <v>402</v>
      </c>
      <c r="E52" s="8" t="s">
        <v>429</v>
      </c>
      <c r="F52" s="6" t="s">
        <v>61</v>
      </c>
      <c r="G52" s="6" t="s">
        <v>414</v>
      </c>
    </row>
    <row r="53" spans="1:7" ht="16" x14ac:dyDescent="0.2">
      <c r="A53" s="43">
        <v>4746</v>
      </c>
      <c r="B53" s="6" t="s">
        <v>397</v>
      </c>
      <c r="C53" s="8" t="s">
        <v>33</v>
      </c>
      <c r="D53" s="6" t="s">
        <v>402</v>
      </c>
      <c r="E53" s="8" t="s">
        <v>429</v>
      </c>
      <c r="F53" s="6" t="s">
        <v>45</v>
      </c>
      <c r="G53" s="6" t="s">
        <v>430</v>
      </c>
    </row>
    <row r="54" spans="1:7" ht="16" x14ac:dyDescent="0.2">
      <c r="A54" s="43">
        <v>1485</v>
      </c>
      <c r="B54" s="8" t="s">
        <v>392</v>
      </c>
      <c r="C54" s="6" t="s">
        <v>37</v>
      </c>
      <c r="D54" s="6" t="s">
        <v>402</v>
      </c>
      <c r="E54" s="8" t="s">
        <v>429</v>
      </c>
      <c r="F54" s="42"/>
      <c r="G54" s="6" t="s">
        <v>406</v>
      </c>
    </row>
    <row r="55" spans="1:7" ht="16" x14ac:dyDescent="0.2">
      <c r="A55" s="43">
        <v>9768</v>
      </c>
      <c r="B55" s="8" t="s">
        <v>392</v>
      </c>
      <c r="C55" s="6" t="s">
        <v>37</v>
      </c>
      <c r="D55" s="6" t="s">
        <v>391</v>
      </c>
      <c r="E55" s="6" t="s">
        <v>28</v>
      </c>
      <c r="F55" s="8" t="s">
        <v>24</v>
      </c>
      <c r="G55" s="8" t="s">
        <v>432</v>
      </c>
    </row>
    <row r="56" spans="1:7" ht="16" x14ac:dyDescent="0.2">
      <c r="A56" s="43">
        <v>8159</v>
      </c>
      <c r="B56" s="42"/>
      <c r="C56" s="42"/>
      <c r="D56" s="42"/>
      <c r="E56" s="42"/>
      <c r="F56" s="42"/>
      <c r="G56" s="42"/>
    </row>
    <row r="57" spans="1:7" ht="16" x14ac:dyDescent="0.2">
      <c r="A57" s="43">
        <v>10182</v>
      </c>
      <c r="B57" s="42"/>
      <c r="C57" s="42"/>
      <c r="D57" s="42"/>
      <c r="E57" s="42"/>
      <c r="F57" s="42"/>
      <c r="G57" s="42"/>
    </row>
    <row r="58" spans="1:7" ht="16" x14ac:dyDescent="0.2">
      <c r="A58" s="43">
        <v>5296</v>
      </c>
      <c r="B58" s="42"/>
      <c r="C58" s="42"/>
      <c r="D58" s="42"/>
      <c r="E58" s="42"/>
      <c r="F58" s="42"/>
      <c r="G58" s="42"/>
    </row>
    <row r="59" spans="1:7" ht="16" x14ac:dyDescent="0.2">
      <c r="A59" s="43">
        <v>777</v>
      </c>
      <c r="B59" s="42"/>
      <c r="C59" s="42"/>
      <c r="D59" s="42"/>
      <c r="E59" s="42"/>
      <c r="F59" s="42"/>
      <c r="G59" s="42"/>
    </row>
    <row r="60" spans="1:7" ht="16" x14ac:dyDescent="0.2">
      <c r="A60" s="43">
        <v>10168</v>
      </c>
      <c r="B60" s="42"/>
      <c r="C60" s="42"/>
      <c r="D60" s="42"/>
      <c r="E60" s="42"/>
      <c r="F60" s="42"/>
      <c r="G60" s="42"/>
    </row>
    <row r="61" spans="1:7" ht="16" x14ac:dyDescent="0.2">
      <c r="A61" s="43">
        <v>3522</v>
      </c>
      <c r="B61" s="42"/>
      <c r="C61" s="42"/>
      <c r="D61" s="42"/>
      <c r="E61" s="42"/>
      <c r="F61" s="4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9885-D52D-0E4A-B647-2746A5DB4B32}">
  <dimension ref="A1:U61"/>
  <sheetViews>
    <sheetView workbookViewId="0">
      <pane ySplit="1" topLeftCell="A30" activePane="bottomLeft" state="frozen"/>
      <selection activeCell="H1" sqref="H1"/>
      <selection pane="bottomLeft" activeCell="B66" sqref="B66"/>
    </sheetView>
  </sheetViews>
  <sheetFormatPr baseColWidth="10" defaultRowHeight="15" x14ac:dyDescent="0.2"/>
  <sheetData>
    <row r="1" spans="1:21" x14ac:dyDescent="0.2">
      <c r="A1" s="31" t="s">
        <v>0</v>
      </c>
      <c r="B1" s="31" t="s">
        <v>475</v>
      </c>
      <c r="C1" s="31" t="s">
        <v>476</v>
      </c>
      <c r="D1" s="31" t="s">
        <v>477</v>
      </c>
      <c r="E1" s="31" t="s">
        <v>478</v>
      </c>
      <c r="F1" s="31" t="s">
        <v>479</v>
      </c>
      <c r="G1" s="31" t="s">
        <v>480</v>
      </c>
      <c r="H1" s="31" t="s">
        <v>481</v>
      </c>
      <c r="I1" s="31" t="s">
        <v>482</v>
      </c>
      <c r="J1" s="31" t="s">
        <v>483</v>
      </c>
      <c r="K1" s="31" t="s">
        <v>484</v>
      </c>
      <c r="L1" s="31" t="s">
        <v>485</v>
      </c>
      <c r="M1" s="31" t="s">
        <v>486</v>
      </c>
      <c r="N1" s="31" t="s">
        <v>487</v>
      </c>
      <c r="O1" s="31" t="s">
        <v>488</v>
      </c>
      <c r="P1" s="31" t="s">
        <v>489</v>
      </c>
      <c r="Q1" s="31" t="s">
        <v>490</v>
      </c>
      <c r="R1" s="31" t="s">
        <v>491</v>
      </c>
      <c r="S1" s="31" t="s">
        <v>492</v>
      </c>
      <c r="T1" s="44" t="s">
        <v>493</v>
      </c>
      <c r="U1" s="44" t="s">
        <v>494</v>
      </c>
    </row>
    <row r="2" spans="1:21" x14ac:dyDescent="0.2">
      <c r="A2">
        <f>Jess!A2</f>
        <v>5178</v>
      </c>
      <c r="B2" t="str">
        <f>Jess!B2</f>
        <v>Oppose</v>
      </c>
      <c r="C2" t="str">
        <f>IFERROR(_xlfn.XLOOKUP(A2,'Hand Coded'!A:A,'Hand Coded'!B:B),"NOT FOUND")</f>
        <v>Oppose</v>
      </c>
      <c r="D2" s="29" t="str">
        <f>IF(OR(C2="NOT FOUND",B2=""),"N/A",IF(LOWER(B2)=LOWER(C2),"✓","✗"))</f>
        <v>✓</v>
      </c>
      <c r="E2" t="str">
        <f>Jess!C2</f>
        <v>water_impacts</v>
      </c>
      <c r="F2" t="str">
        <f>IFERROR(_xlfn.XLOOKUP(A2,'Hand Coded'!A:A,'Hand Coded'!C:C),"NOT FOUND")</f>
        <v>water_impacts</v>
      </c>
      <c r="G2" s="29" t="str">
        <f>IF(OR(F2="NOT FOUND",E2=""),"N/A",IF(LOWER(E2)=LOWER(F2),"✓","✗"))</f>
        <v>✓</v>
      </c>
      <c r="H2" t="str">
        <f>Jess!D2</f>
        <v>natural_gas_pipeline</v>
      </c>
      <c r="I2" t="str">
        <f>IFERROR(_xlfn.XLOOKUP(A2,'Hand Coded'!A:A,'Hand Coded'!D:D),"NOT FOUND")</f>
        <v>natural_gas_pipeline</v>
      </c>
      <c r="J2" s="29" t="str">
        <f>IF(OR(I2="NOT FOUND",H2=""),"N/A",IF(LOWER(H2)=LOWER(I2),"✓","✗"))</f>
        <v>✓</v>
      </c>
      <c r="K2" t="str">
        <f>Jess!E2</f>
        <v>government</v>
      </c>
      <c r="L2" t="str">
        <f>IFERROR(_xlfn.XLOOKUP(A2,'Hand Coded'!A:A,'Hand Coded'!E:E),"NOT FOUND")</f>
        <v>government</v>
      </c>
      <c r="M2" s="29" t="str">
        <f>IF(OR(L2="NOT FOUND",K2=""),"N/A",IF(LOWER(K2)=LOWER(L2),"✓","✗"))</f>
        <v>✓</v>
      </c>
      <c r="N2" t="str">
        <f>Jess!F2</f>
        <v>NY</v>
      </c>
      <c r="O2" t="str">
        <f>IFERROR(_xlfn.XLOOKUP(A2,'Hand Coded'!A:A,'Hand Coded'!F:F),"NOT FOUND")</f>
        <v>NY</v>
      </c>
      <c r="P2" s="29" t="str">
        <f>IF(OR(O2="NOT FOUND",N2=""),"N/A",IF(LOWER(N2)=LOWER(O2),"✓","✗"))</f>
        <v>✓</v>
      </c>
      <c r="Q2" t="str">
        <f>Jess!G2</f>
        <v>Northeast</v>
      </c>
      <c r="R2" t="str">
        <f>IFERROR(_xlfn.XLOOKUP(A2,'Hand Coded'!A:A,'Hand Coded'!G:G),"NOT FOUND")</f>
        <v>Northeast</v>
      </c>
      <c r="S2" s="29" t="str">
        <f>IF(OR(R2="NOT FOUND",Q2=""),"N/A",IF(LOWER(Q2)=LOWER(R2),"✓","✗"))</f>
        <v>✓</v>
      </c>
      <c r="T2" s="29">
        <f>COUNTIF(D2,"✗")+COUNTIF(G2,"✗")+COUNTIF(J2,"✗")+COUNTIF(M2,"✗")+COUNTIF(P2,"✗")+COUNTIF(S2,"✗")</f>
        <v>0</v>
      </c>
      <c r="U2" s="29" t="str">
        <f>IF(T2&gt;0,"⚠ REVIEW",IF(COUNTIF(D2:S2,"N/A")=6,"NOT IN HC","OK"))</f>
        <v>OK</v>
      </c>
    </row>
    <row r="3" spans="1:21" x14ac:dyDescent="0.2">
      <c r="A3">
        <f>Jess!A3</f>
        <v>5185</v>
      </c>
      <c r="B3" t="str">
        <f>Jess!B3</f>
        <v>Oppose</v>
      </c>
      <c r="C3" t="str">
        <f>IFERROR(_xlfn.XLOOKUP(A3,'Hand Coded'!A:A,'Hand Coded'!B:B),"NOT FOUND")</f>
        <v>Oppose</v>
      </c>
      <c r="D3" s="29" t="str">
        <f t="shared" ref="D3:D61" si="0">IF(OR(C3="NOT FOUND",B3=""),"N/A",IF(LOWER(B3)=LOWER(C3),"✓","✗"))</f>
        <v>✓</v>
      </c>
      <c r="E3" t="str">
        <f>Jess!C3</f>
        <v>public_process</v>
      </c>
      <c r="F3" t="str">
        <f>IFERROR(_xlfn.XLOOKUP(A3,'Hand Coded'!A:A,'Hand Coded'!C:C),"NOT FOUND")</f>
        <v>public_process</v>
      </c>
      <c r="G3" s="29" t="str">
        <f t="shared" ref="G3:G61" si="1">IF(OR(F3="NOT FOUND",E3=""),"N/A",IF(LOWER(E3)=LOWER(F3),"✓","✗"))</f>
        <v>✓</v>
      </c>
      <c r="H3" t="str">
        <f>Jess!D3</f>
        <v>natural_gas_pipeline</v>
      </c>
      <c r="I3" t="str">
        <f>IFERROR(_xlfn.XLOOKUP(A3,'Hand Coded'!A:A,'Hand Coded'!D:D),"NOT FOUND")</f>
        <v>natural_gas_pipeline</v>
      </c>
      <c r="J3" s="29" t="str">
        <f t="shared" ref="J3:J61" si="2">IF(OR(I3="NOT FOUND",H3=""),"N/A",IF(LOWER(H3)=LOWER(I3),"✓","✗"))</f>
        <v>✓</v>
      </c>
      <c r="K3" t="str">
        <f>Jess!E3</f>
        <v>resident</v>
      </c>
      <c r="L3" t="str">
        <f>IFERROR(_xlfn.XLOOKUP(A3,'Hand Coded'!A:A,'Hand Coded'!E:E),"NOT FOUND")</f>
        <v>resident</v>
      </c>
      <c r="M3" s="29" t="str">
        <f t="shared" ref="M3:M61" si="3">IF(OR(L3="NOT FOUND",K3=""),"N/A",IF(LOWER(K3)=LOWER(L3),"✓","✗"))</f>
        <v>✓</v>
      </c>
      <c r="N3" t="str">
        <f>Jess!F3</f>
        <v>NY</v>
      </c>
      <c r="O3" t="str">
        <f>IFERROR(_xlfn.XLOOKUP(A3,'Hand Coded'!A:A,'Hand Coded'!F:F),"NOT FOUND")</f>
        <v>NY</v>
      </c>
      <c r="P3" s="29" t="str">
        <f t="shared" ref="P3:P61" si="4">IF(OR(O3="NOT FOUND",N3=""),"N/A",IF(LOWER(N3)=LOWER(O3),"✓","✗"))</f>
        <v>✓</v>
      </c>
      <c r="Q3" t="str">
        <f>Jess!G3</f>
        <v>Northeast</v>
      </c>
      <c r="R3" t="str">
        <f>IFERROR(_xlfn.XLOOKUP(A3,'Hand Coded'!A:A,'Hand Coded'!G:G),"NOT FOUND")</f>
        <v>Northeast</v>
      </c>
      <c r="S3" s="29" t="str">
        <f t="shared" ref="S3:S61" si="5">IF(OR(R3="NOT FOUND",Q3=""),"N/A",IF(LOWER(Q3)=LOWER(R3),"✓","✗"))</f>
        <v>✓</v>
      </c>
      <c r="T3" s="29">
        <f t="shared" ref="T3:T61" si="6">COUNTIF(D3,"✗")+COUNTIF(G3,"✗")+COUNTIF(J3,"✗")+COUNTIF(M3,"✗")+COUNTIF(P3,"✗")+COUNTIF(S3,"✗")</f>
        <v>0</v>
      </c>
      <c r="U3" s="29" t="str">
        <f t="shared" ref="U3:U61" si="7">IF(T3&gt;0,"⚠ REVIEW",IF(COUNTIF(D3:S3,"N/A")=6,"NOT IN HC","OK"))</f>
        <v>OK</v>
      </c>
    </row>
    <row r="4" spans="1:21" x14ac:dyDescent="0.2">
      <c r="A4">
        <f>Jess!A4</f>
        <v>5264</v>
      </c>
      <c r="B4" t="str">
        <f>Jess!B4</f>
        <v>Neutral</v>
      </c>
      <c r="C4" t="str">
        <f>IFERROR(_xlfn.XLOOKUP(A4,'Hand Coded'!A:A,'Hand Coded'!B:B),"NOT FOUND")</f>
        <v>Support with Changes</v>
      </c>
      <c r="D4" s="29" t="str">
        <f t="shared" si="0"/>
        <v>✗</v>
      </c>
      <c r="E4" t="str">
        <f>Jess!C4</f>
        <v>water_impacts</v>
      </c>
      <c r="F4" t="str">
        <f>IFERROR(_xlfn.XLOOKUP(A4,'Hand Coded'!A:A,'Hand Coded'!C:C),"NOT FOUND")</f>
        <v>water_impacts</v>
      </c>
      <c r="G4" s="29" t="str">
        <f t="shared" si="1"/>
        <v>✓</v>
      </c>
      <c r="H4" t="str">
        <f>Jess!D4</f>
        <v>hydropower</v>
      </c>
      <c r="I4" t="str">
        <f>IFERROR(_xlfn.XLOOKUP(A4,'Hand Coded'!A:A,'Hand Coded'!D:D),"NOT FOUND")</f>
        <v>hydropower</v>
      </c>
      <c r="J4" s="29" t="str">
        <f t="shared" si="2"/>
        <v>✓</v>
      </c>
      <c r="K4" t="str">
        <f>Jess!E4</f>
        <v>government</v>
      </c>
      <c r="L4" t="str">
        <f>IFERROR(_xlfn.XLOOKUP(A4,'Hand Coded'!A:A,'Hand Coded'!E:E),"NOT FOUND")</f>
        <v>government</v>
      </c>
      <c r="M4" s="29" t="str">
        <f t="shared" si="3"/>
        <v>✓</v>
      </c>
      <c r="N4" t="str">
        <f>Jess!F4</f>
        <v>PA</v>
      </c>
      <c r="O4" t="str">
        <f>IFERROR(_xlfn.XLOOKUP(A4,'Hand Coded'!A:A,'Hand Coded'!F:F),"NOT FOUND")</f>
        <v>PA</v>
      </c>
      <c r="P4" s="29" t="str">
        <f t="shared" si="4"/>
        <v>✓</v>
      </c>
      <c r="Q4" t="str">
        <f>Jess!G4</f>
        <v>Northeast</v>
      </c>
      <c r="R4" t="str">
        <f>IFERROR(_xlfn.XLOOKUP(A4,'Hand Coded'!A:A,'Hand Coded'!G:G),"NOT FOUND")</f>
        <v>Northeast</v>
      </c>
      <c r="S4" s="29" t="str">
        <f t="shared" si="5"/>
        <v>✓</v>
      </c>
      <c r="T4" s="29">
        <f t="shared" si="6"/>
        <v>1</v>
      </c>
      <c r="U4" s="29" t="str">
        <f t="shared" si="7"/>
        <v>⚠ REVIEW</v>
      </c>
    </row>
    <row r="5" spans="1:21" x14ac:dyDescent="0.2">
      <c r="A5">
        <f>Jess!A5</f>
        <v>5265</v>
      </c>
      <c r="B5" t="str">
        <f>Jess!B5</f>
        <v>Neutral</v>
      </c>
      <c r="C5" t="str">
        <f>IFERROR(_xlfn.XLOOKUP(A5,'Hand Coded'!A:A,'Hand Coded'!B:B),"NOT FOUND")</f>
        <v>Support with Changes</v>
      </c>
      <c r="D5" s="29" t="str">
        <f t="shared" si="0"/>
        <v>✗</v>
      </c>
      <c r="E5" t="str">
        <f>Jess!C5</f>
        <v>wildlife_ecosystem</v>
      </c>
      <c r="F5" t="str">
        <f>IFERROR(_xlfn.XLOOKUP(A5,'Hand Coded'!A:A,'Hand Coded'!C:C),"NOT FOUND")</f>
        <v>wildlife_ecosystem</v>
      </c>
      <c r="G5" s="29" t="str">
        <f t="shared" si="1"/>
        <v>✓</v>
      </c>
      <c r="H5" t="str">
        <f>Jess!D5</f>
        <v>hydropower</v>
      </c>
      <c r="I5" t="str">
        <f>IFERROR(_xlfn.XLOOKUP(A5,'Hand Coded'!A:A,'Hand Coded'!D:D),"NOT FOUND")</f>
        <v>hydropower</v>
      </c>
      <c r="J5" s="29" t="str">
        <f t="shared" si="2"/>
        <v>✓</v>
      </c>
      <c r="K5" t="str">
        <f>Jess!E5</f>
        <v>government</v>
      </c>
      <c r="L5" t="str">
        <f>IFERROR(_xlfn.XLOOKUP(A5,'Hand Coded'!A:A,'Hand Coded'!E:E),"NOT FOUND")</f>
        <v>government</v>
      </c>
      <c r="M5" s="29" t="str">
        <f t="shared" si="3"/>
        <v>✓</v>
      </c>
      <c r="N5" t="str">
        <f>Jess!F5</f>
        <v>PA</v>
      </c>
      <c r="O5" t="str">
        <f>IFERROR(_xlfn.XLOOKUP(A5,'Hand Coded'!A:A,'Hand Coded'!F:F),"NOT FOUND")</f>
        <v>PA</v>
      </c>
      <c r="P5" s="29" t="str">
        <f t="shared" si="4"/>
        <v>✓</v>
      </c>
      <c r="Q5" t="str">
        <f>Jess!G5</f>
        <v>Northeast</v>
      </c>
      <c r="R5" t="str">
        <f>IFERROR(_xlfn.XLOOKUP(A5,'Hand Coded'!A:A,'Hand Coded'!G:G),"NOT FOUND")</f>
        <v>Northeast</v>
      </c>
      <c r="S5" s="29" t="str">
        <f t="shared" si="5"/>
        <v>✓</v>
      </c>
      <c r="T5" s="29">
        <f t="shared" si="6"/>
        <v>1</v>
      </c>
      <c r="U5" s="29" t="str">
        <f t="shared" si="7"/>
        <v>⚠ REVIEW</v>
      </c>
    </row>
    <row r="6" spans="1:21" x14ac:dyDescent="0.2">
      <c r="A6">
        <f>Jess!A6</f>
        <v>5300</v>
      </c>
      <c r="B6" t="str">
        <f>Jess!B6</f>
        <v>Oppose</v>
      </c>
      <c r="C6" t="str">
        <f>IFERROR(_xlfn.XLOOKUP(A6,'Hand Coded'!A:A,'Hand Coded'!B:B),"NOT FOUND")</f>
        <v>Oppose</v>
      </c>
      <c r="D6" s="29" t="str">
        <f t="shared" si="0"/>
        <v>✓</v>
      </c>
      <c r="E6" t="str">
        <f>Jess!C6</f>
        <v>wildlife_ecosystem</v>
      </c>
      <c r="F6" t="str">
        <f>IFERROR(_xlfn.XLOOKUP(A6,'Hand Coded'!A:A,'Hand Coded'!C:C),"NOT FOUND")</f>
        <v>wildlife_ecosystem</v>
      </c>
      <c r="G6" s="29" t="str">
        <f t="shared" si="1"/>
        <v>✓</v>
      </c>
      <c r="H6" t="str">
        <f>Jess!D6</f>
        <v>natural_gas_pipeline</v>
      </c>
      <c r="I6" t="str">
        <f>IFERROR(_xlfn.XLOOKUP(A6,'Hand Coded'!A:A,'Hand Coded'!D:D),"NOT FOUND")</f>
        <v>natural_gas_pipeline</v>
      </c>
      <c r="J6" s="29" t="str">
        <f t="shared" si="2"/>
        <v>✓</v>
      </c>
      <c r="K6" t="str">
        <f>Jess!E6</f>
        <v>resident</v>
      </c>
      <c r="L6" t="str">
        <f>IFERROR(_xlfn.XLOOKUP(A6,'Hand Coded'!A:A,'Hand Coded'!E:E),"NOT FOUND")</f>
        <v>resident</v>
      </c>
      <c r="M6" s="29" t="str">
        <f t="shared" si="3"/>
        <v>✓</v>
      </c>
      <c r="N6" t="str">
        <f>Jess!F6</f>
        <v>NY</v>
      </c>
      <c r="O6" t="str">
        <f>IFERROR(_xlfn.XLOOKUP(A6,'Hand Coded'!A:A,'Hand Coded'!F:F),"NOT FOUND")</f>
        <v>NY</v>
      </c>
      <c r="P6" s="29" t="str">
        <f t="shared" si="4"/>
        <v>✓</v>
      </c>
      <c r="Q6" t="str">
        <f>Jess!G6</f>
        <v>Northeast</v>
      </c>
      <c r="R6" t="str">
        <f>IFERROR(_xlfn.XLOOKUP(A6,'Hand Coded'!A:A,'Hand Coded'!G:G),"NOT FOUND")</f>
        <v>Northeast</v>
      </c>
      <c r="S6" s="29" t="str">
        <f t="shared" si="5"/>
        <v>✓</v>
      </c>
      <c r="T6" s="29">
        <f t="shared" si="6"/>
        <v>0</v>
      </c>
      <c r="U6" s="29" t="str">
        <f t="shared" si="7"/>
        <v>OK</v>
      </c>
    </row>
    <row r="7" spans="1:21" x14ac:dyDescent="0.2">
      <c r="A7">
        <f>Jess!A7</f>
        <v>5312</v>
      </c>
      <c r="B7" t="str">
        <f>Jess!B7</f>
        <v>Oppose</v>
      </c>
      <c r="C7" t="str">
        <f>IFERROR(_xlfn.XLOOKUP(A7,'Hand Coded'!A:A,'Hand Coded'!B:B),"NOT FOUND")</f>
        <v>Oppose</v>
      </c>
      <c r="D7" s="29" t="str">
        <f t="shared" si="0"/>
        <v>✓</v>
      </c>
      <c r="E7" t="str">
        <f>Jess!C7</f>
        <v>wildlife_ecosystem</v>
      </c>
      <c r="F7" t="str">
        <f>IFERROR(_xlfn.XLOOKUP(A7,'Hand Coded'!A:A,'Hand Coded'!C:C),"NOT FOUND")</f>
        <v>wildlife_ecosystem</v>
      </c>
      <c r="G7" s="29" t="str">
        <f t="shared" si="1"/>
        <v>✓</v>
      </c>
      <c r="H7" t="str">
        <f>Jess!D7</f>
        <v>natural_gas_pipeline</v>
      </c>
      <c r="I7" t="str">
        <f>IFERROR(_xlfn.XLOOKUP(A7,'Hand Coded'!A:A,'Hand Coded'!D:D),"NOT FOUND")</f>
        <v>natural_gas_pipeline</v>
      </c>
      <c r="J7" s="29" t="str">
        <f t="shared" si="2"/>
        <v>✓</v>
      </c>
      <c r="K7" t="str">
        <f>Jess!E7</f>
        <v>resident</v>
      </c>
      <c r="L7" t="str">
        <f>IFERROR(_xlfn.XLOOKUP(A7,'Hand Coded'!A:A,'Hand Coded'!E:E),"NOT FOUND")</f>
        <v>resident</v>
      </c>
      <c r="M7" s="29" t="str">
        <f t="shared" si="3"/>
        <v>✓</v>
      </c>
      <c r="N7" t="str">
        <f>Jess!F7</f>
        <v>NY</v>
      </c>
      <c r="O7" t="str">
        <f>IFERROR(_xlfn.XLOOKUP(A7,'Hand Coded'!A:A,'Hand Coded'!F:F),"NOT FOUND")</f>
        <v>NY</v>
      </c>
      <c r="P7" s="29" t="str">
        <f t="shared" si="4"/>
        <v>✓</v>
      </c>
      <c r="Q7" t="str">
        <f>Jess!G7</f>
        <v>Northeast</v>
      </c>
      <c r="R7" t="str">
        <f>IFERROR(_xlfn.XLOOKUP(A7,'Hand Coded'!A:A,'Hand Coded'!G:G),"NOT FOUND")</f>
        <v>Northeast</v>
      </c>
      <c r="S7" s="29" t="str">
        <f t="shared" si="5"/>
        <v>✓</v>
      </c>
      <c r="T7" s="29">
        <f t="shared" si="6"/>
        <v>0</v>
      </c>
      <c r="U7" s="29" t="str">
        <f t="shared" si="7"/>
        <v>OK</v>
      </c>
    </row>
    <row r="8" spans="1:21" x14ac:dyDescent="0.2">
      <c r="A8">
        <f>Jess!A8</f>
        <v>5331</v>
      </c>
      <c r="B8" t="str">
        <f>Jess!B8</f>
        <v>Oppose</v>
      </c>
      <c r="C8" t="str">
        <f>IFERROR(_xlfn.XLOOKUP(A8,'Hand Coded'!A:A,'Hand Coded'!B:B),"NOT FOUND")</f>
        <v>Oppose</v>
      </c>
      <c r="D8" s="29" t="str">
        <f t="shared" si="0"/>
        <v>✓</v>
      </c>
      <c r="E8" t="str">
        <f>Jess!C8</f>
        <v>property_rights</v>
      </c>
      <c r="F8" t="str">
        <f>IFERROR(_xlfn.XLOOKUP(A8,'Hand Coded'!A:A,'Hand Coded'!C:C),"NOT FOUND")</f>
        <v>property_rights</v>
      </c>
      <c r="G8" s="29" t="str">
        <f t="shared" si="1"/>
        <v>✓</v>
      </c>
      <c r="H8" t="str">
        <f>Jess!D8</f>
        <v>natural_gas_pipeline</v>
      </c>
      <c r="I8" t="str">
        <f>IFERROR(_xlfn.XLOOKUP(A8,'Hand Coded'!A:A,'Hand Coded'!D:D),"NOT FOUND")</f>
        <v>natural_gas_pipeline</v>
      </c>
      <c r="J8" s="29" t="str">
        <f t="shared" si="2"/>
        <v>✓</v>
      </c>
      <c r="K8" t="str">
        <f>Jess!E8</f>
        <v>resident</v>
      </c>
      <c r="L8" t="str">
        <f>IFERROR(_xlfn.XLOOKUP(A8,'Hand Coded'!A:A,'Hand Coded'!E:E),"NOT FOUND")</f>
        <v>resident</v>
      </c>
      <c r="M8" s="29" t="str">
        <f t="shared" si="3"/>
        <v>✓</v>
      </c>
      <c r="N8" t="str">
        <f>Jess!F8</f>
        <v>NY</v>
      </c>
      <c r="O8" t="str">
        <f>IFERROR(_xlfn.XLOOKUP(A8,'Hand Coded'!A:A,'Hand Coded'!F:F),"NOT FOUND")</f>
        <v>NY</v>
      </c>
      <c r="P8" s="29" t="str">
        <f t="shared" si="4"/>
        <v>✓</v>
      </c>
      <c r="Q8" t="str">
        <f>Jess!G8</f>
        <v>Northeast</v>
      </c>
      <c r="R8" t="str">
        <f>IFERROR(_xlfn.XLOOKUP(A8,'Hand Coded'!A:A,'Hand Coded'!G:G),"NOT FOUND")</f>
        <v>Northeast</v>
      </c>
      <c r="S8" s="29" t="str">
        <f t="shared" si="5"/>
        <v>✓</v>
      </c>
      <c r="T8" s="29">
        <f t="shared" si="6"/>
        <v>0</v>
      </c>
      <c r="U8" s="29" t="str">
        <f t="shared" si="7"/>
        <v>OK</v>
      </c>
    </row>
    <row r="9" spans="1:21" x14ac:dyDescent="0.2">
      <c r="A9">
        <f>Jess!A9</f>
        <v>5338</v>
      </c>
      <c r="B9" t="str">
        <f>Jess!B9</f>
        <v>Support</v>
      </c>
      <c r="C9" t="str">
        <f>IFERROR(_xlfn.XLOOKUP(A9,'Hand Coded'!A:A,'Hand Coded'!B:B),"NOT FOUND")</f>
        <v>Support</v>
      </c>
      <c r="D9" s="29" t="str">
        <f t="shared" si="0"/>
        <v>✓</v>
      </c>
      <c r="E9" t="str">
        <f>Jess!C9</f>
        <v>grid_reliability</v>
      </c>
      <c r="F9" t="str">
        <f>IFERROR(_xlfn.XLOOKUP(A9,'Hand Coded'!A:A,'Hand Coded'!C:C),"NOT FOUND")</f>
        <v>grid_reliability</v>
      </c>
      <c r="G9" s="29" t="str">
        <f t="shared" si="1"/>
        <v>✓</v>
      </c>
      <c r="H9" t="str">
        <f>Jess!D9</f>
        <v>electric_transmission</v>
      </c>
      <c r="I9" t="str">
        <f>IFERROR(_xlfn.XLOOKUP(A9,'Hand Coded'!A:A,'Hand Coded'!D:D),"NOT FOUND")</f>
        <v>grid_reliability</v>
      </c>
      <c r="J9" s="29" t="str">
        <f t="shared" si="2"/>
        <v>✗</v>
      </c>
      <c r="K9" t="str">
        <f>Jess!E9</f>
        <v>organization</v>
      </c>
      <c r="L9" t="str">
        <f>IFERROR(_xlfn.XLOOKUP(A9,'Hand Coded'!A:A,'Hand Coded'!E:E),"NOT FOUND")</f>
        <v>organization</v>
      </c>
      <c r="M9" s="29" t="str">
        <f t="shared" si="3"/>
        <v>✓</v>
      </c>
      <c r="N9" t="str">
        <f>Jess!F9</f>
        <v>NC</v>
      </c>
      <c r="O9" t="str">
        <f>IFERROR(_xlfn.XLOOKUP(A9,'Hand Coded'!A:A,'Hand Coded'!F:F),"NOT FOUND")</f>
        <v>NC</v>
      </c>
      <c r="P9" s="29" t="str">
        <f t="shared" si="4"/>
        <v>✓</v>
      </c>
      <c r="Q9" t="str">
        <f>Jess!G9</f>
        <v>Southeast</v>
      </c>
      <c r="R9" t="str">
        <f>IFERROR(_xlfn.XLOOKUP(A9,'Hand Coded'!A:A,'Hand Coded'!G:G),"NOT FOUND")</f>
        <v>Southeast</v>
      </c>
      <c r="S9" s="29" t="str">
        <f t="shared" si="5"/>
        <v>✓</v>
      </c>
      <c r="T9" s="29">
        <f t="shared" si="6"/>
        <v>1</v>
      </c>
      <c r="U9" s="29" t="str">
        <f t="shared" si="7"/>
        <v>⚠ REVIEW</v>
      </c>
    </row>
    <row r="10" spans="1:21" x14ac:dyDescent="0.2">
      <c r="A10">
        <f>Jess!A10</f>
        <v>5344</v>
      </c>
      <c r="B10" t="str">
        <f>Jess!B10</f>
        <v>Oppose</v>
      </c>
      <c r="C10" t="str">
        <f>IFERROR(_xlfn.XLOOKUP(A10,'Hand Coded'!A:A,'Hand Coded'!B:B),"NOT FOUND")</f>
        <v>Oppose</v>
      </c>
      <c r="D10" s="29" t="str">
        <f t="shared" si="0"/>
        <v>✓</v>
      </c>
      <c r="E10" t="str">
        <f>Jess!C10</f>
        <v>public_process</v>
      </c>
      <c r="F10" t="str">
        <f>IFERROR(_xlfn.XLOOKUP(A10,'Hand Coded'!A:A,'Hand Coded'!C:C),"NOT FOUND")</f>
        <v>public_process</v>
      </c>
      <c r="G10" s="29" t="str">
        <f t="shared" si="1"/>
        <v>✓</v>
      </c>
      <c r="H10" t="str">
        <f>Jess!D10</f>
        <v>natural_gas_pipeline</v>
      </c>
      <c r="I10" t="str">
        <f>IFERROR(_xlfn.XLOOKUP(A10,'Hand Coded'!A:A,'Hand Coded'!D:D),"NOT FOUND")</f>
        <v>natural_gas_pipeline</v>
      </c>
      <c r="J10" s="29" t="str">
        <f t="shared" si="2"/>
        <v>✓</v>
      </c>
      <c r="K10" t="str">
        <f>Jess!E10</f>
        <v>resident</v>
      </c>
      <c r="L10" t="str">
        <f>IFERROR(_xlfn.XLOOKUP(A10,'Hand Coded'!A:A,'Hand Coded'!E:E),"NOT FOUND")</f>
        <v>resident</v>
      </c>
      <c r="M10" s="29" t="str">
        <f t="shared" si="3"/>
        <v>✓</v>
      </c>
      <c r="N10" t="str">
        <f>Jess!F10</f>
        <v>NY</v>
      </c>
      <c r="O10" t="str">
        <f>IFERROR(_xlfn.XLOOKUP(A10,'Hand Coded'!A:A,'Hand Coded'!F:F),"NOT FOUND")</f>
        <v>NY</v>
      </c>
      <c r="P10" s="29" t="str">
        <f t="shared" si="4"/>
        <v>✓</v>
      </c>
      <c r="Q10" t="str">
        <f>Jess!G10</f>
        <v>Northeast</v>
      </c>
      <c r="R10" t="str">
        <f>IFERROR(_xlfn.XLOOKUP(A10,'Hand Coded'!A:A,'Hand Coded'!G:G),"NOT FOUND")</f>
        <v>Northeast</v>
      </c>
      <c r="S10" s="29" t="str">
        <f t="shared" si="5"/>
        <v>✓</v>
      </c>
      <c r="T10" s="29">
        <f t="shared" si="6"/>
        <v>0</v>
      </c>
      <c r="U10" s="29" t="str">
        <f t="shared" si="7"/>
        <v>OK</v>
      </c>
    </row>
    <row r="11" spans="1:21" x14ac:dyDescent="0.2">
      <c r="A11">
        <f>Jess!A11</f>
        <v>5371</v>
      </c>
      <c r="B11" t="str">
        <f>Jess!B11</f>
        <v>Oppose</v>
      </c>
      <c r="C11" t="str">
        <f>IFERROR(_xlfn.XLOOKUP(A11,'Hand Coded'!A:A,'Hand Coded'!B:B),"NOT FOUND")</f>
        <v>Oppose</v>
      </c>
      <c r="D11" s="29" t="str">
        <f t="shared" si="0"/>
        <v>✓</v>
      </c>
      <c r="E11" t="str">
        <f>Jess!C11</f>
        <v>public_process</v>
      </c>
      <c r="F11" t="str">
        <f>IFERROR(_xlfn.XLOOKUP(A11,'Hand Coded'!A:A,'Hand Coded'!C:C),"NOT FOUND")</f>
        <v>public_process</v>
      </c>
      <c r="G11" s="29" t="str">
        <f t="shared" si="1"/>
        <v>✓</v>
      </c>
      <c r="H11" t="str">
        <f>Jess!D11</f>
        <v>natural_gas_pipeline</v>
      </c>
      <c r="I11" t="str">
        <f>IFERROR(_xlfn.XLOOKUP(A11,'Hand Coded'!A:A,'Hand Coded'!D:D),"NOT FOUND")</f>
        <v>natural_gas_pipeline</v>
      </c>
      <c r="J11" s="29" t="str">
        <f t="shared" si="2"/>
        <v>✓</v>
      </c>
      <c r="K11" t="str">
        <f>Jess!E11</f>
        <v>resident</v>
      </c>
      <c r="L11" t="str">
        <f>IFERROR(_xlfn.XLOOKUP(A11,'Hand Coded'!A:A,'Hand Coded'!E:E),"NOT FOUND")</f>
        <v>resident</v>
      </c>
      <c r="M11" s="29" t="str">
        <f t="shared" si="3"/>
        <v>✓</v>
      </c>
      <c r="N11" t="str">
        <f>Jess!F11</f>
        <v>NY</v>
      </c>
      <c r="O11" t="str">
        <f>IFERROR(_xlfn.XLOOKUP(A11,'Hand Coded'!A:A,'Hand Coded'!F:F),"NOT FOUND")</f>
        <v>NY</v>
      </c>
      <c r="P11" s="29" t="str">
        <f t="shared" si="4"/>
        <v>✓</v>
      </c>
      <c r="Q11" t="str">
        <f>Jess!G11</f>
        <v>Northeast</v>
      </c>
      <c r="R11" t="str">
        <f>IFERROR(_xlfn.XLOOKUP(A11,'Hand Coded'!A:A,'Hand Coded'!G:G),"NOT FOUND")</f>
        <v>Northeast</v>
      </c>
      <c r="S11" s="29" t="str">
        <f t="shared" si="5"/>
        <v>✓</v>
      </c>
      <c r="T11" s="29">
        <f t="shared" si="6"/>
        <v>0</v>
      </c>
      <c r="U11" s="29" t="str">
        <f t="shared" si="7"/>
        <v>OK</v>
      </c>
    </row>
    <row r="12" spans="1:21" x14ac:dyDescent="0.2">
      <c r="A12">
        <f>Jess!A12</f>
        <v>5518</v>
      </c>
      <c r="B12" t="str">
        <f>Jess!B12</f>
        <v>Oppose</v>
      </c>
      <c r="C12" t="str">
        <f>IFERROR(_xlfn.XLOOKUP(A12,'Hand Coded'!A:A,'Hand Coded'!B:B),"NOT FOUND")</f>
        <v>Oppose</v>
      </c>
      <c r="D12" s="29" t="str">
        <f t="shared" si="0"/>
        <v>✓</v>
      </c>
      <c r="E12" t="str">
        <f>Jess!C12</f>
        <v>water_impacts</v>
      </c>
      <c r="F12" t="str">
        <f>IFERROR(_xlfn.XLOOKUP(A12,'Hand Coded'!A:A,'Hand Coded'!C:C),"NOT FOUND")</f>
        <v>water_impacts</v>
      </c>
      <c r="G12" s="29" t="str">
        <f t="shared" si="1"/>
        <v>✓</v>
      </c>
      <c r="H12" t="str">
        <f>Jess!D12</f>
        <v>natural_gas_pipeline</v>
      </c>
      <c r="I12" t="str">
        <f>IFERROR(_xlfn.XLOOKUP(A12,'Hand Coded'!A:A,'Hand Coded'!D:D),"NOT FOUND")</f>
        <v>natural_gas_pipeline</v>
      </c>
      <c r="J12" s="29" t="str">
        <f t="shared" si="2"/>
        <v>✓</v>
      </c>
      <c r="K12" t="str">
        <f>Jess!E12</f>
        <v>resident</v>
      </c>
      <c r="L12" t="str">
        <f>IFERROR(_xlfn.XLOOKUP(A12,'Hand Coded'!A:A,'Hand Coded'!E:E),"NOT FOUND")</f>
        <v>resident</v>
      </c>
      <c r="M12" s="29" t="str">
        <f t="shared" si="3"/>
        <v>✓</v>
      </c>
      <c r="N12" t="str">
        <f>Jess!F12</f>
        <v>NY</v>
      </c>
      <c r="O12" t="str">
        <f>IFERROR(_xlfn.XLOOKUP(A12,'Hand Coded'!A:A,'Hand Coded'!F:F),"NOT FOUND")</f>
        <v>NY</v>
      </c>
      <c r="P12" s="29" t="str">
        <f t="shared" si="4"/>
        <v>✓</v>
      </c>
      <c r="Q12" t="str">
        <f>Jess!G12</f>
        <v>Northeast</v>
      </c>
      <c r="R12" t="str">
        <f>IFERROR(_xlfn.XLOOKUP(A12,'Hand Coded'!A:A,'Hand Coded'!G:G),"NOT FOUND")</f>
        <v>Northeast</v>
      </c>
      <c r="S12" s="29" t="str">
        <f t="shared" si="5"/>
        <v>✓</v>
      </c>
      <c r="T12" s="29">
        <f t="shared" si="6"/>
        <v>0</v>
      </c>
      <c r="U12" s="29" t="str">
        <f t="shared" si="7"/>
        <v>OK</v>
      </c>
    </row>
    <row r="13" spans="1:21" x14ac:dyDescent="0.2">
      <c r="A13">
        <f>Jess!A13</f>
        <v>5661</v>
      </c>
      <c r="B13" t="str">
        <f>Jess!B13</f>
        <v>Oppose</v>
      </c>
      <c r="C13" t="str">
        <f>IFERROR(_xlfn.XLOOKUP(A13,'Hand Coded'!A:A,'Hand Coded'!B:B),"NOT FOUND")</f>
        <v>Oppose</v>
      </c>
      <c r="D13" s="29" t="str">
        <f t="shared" si="0"/>
        <v>✓</v>
      </c>
      <c r="E13" t="str">
        <f>Jess!C13</f>
        <v>electric_transmission</v>
      </c>
      <c r="F13" t="str">
        <f>IFERROR(_xlfn.XLOOKUP(A13,'Hand Coded'!A:A,'Hand Coded'!C:C),"NOT FOUND")</f>
        <v>grid_reliability</v>
      </c>
      <c r="G13" s="29" t="str">
        <f t="shared" si="1"/>
        <v>✗</v>
      </c>
      <c r="H13" t="str">
        <f>Jess!D13</f>
        <v>other</v>
      </c>
      <c r="I13" t="str">
        <f>IFERROR(_xlfn.XLOOKUP(A13,'Hand Coded'!A:A,'Hand Coded'!D:D),"NOT FOUND")</f>
        <v>other</v>
      </c>
      <c r="J13" s="29" t="str">
        <f t="shared" si="2"/>
        <v>✓</v>
      </c>
      <c r="K13" t="str">
        <f>Jess!E13</f>
        <v>business</v>
      </c>
      <c r="L13" t="str">
        <f>IFERROR(_xlfn.XLOOKUP(A13,'Hand Coded'!A:A,'Hand Coded'!E:E),"NOT FOUND")</f>
        <v>business</v>
      </c>
      <c r="M13" s="29" t="str">
        <f t="shared" si="3"/>
        <v>✓</v>
      </c>
      <c r="N13" t="str">
        <f>Jess!F13</f>
        <v>CA</v>
      </c>
      <c r="O13" t="str">
        <f>IFERROR(_xlfn.XLOOKUP(A13,'Hand Coded'!A:A,'Hand Coded'!F:F),"NOT FOUND")</f>
        <v>CA</v>
      </c>
      <c r="P13" s="29" t="str">
        <f t="shared" si="4"/>
        <v>✓</v>
      </c>
      <c r="Q13" t="str">
        <f>Jess!G13</f>
        <v>Southwest</v>
      </c>
      <c r="R13" t="str">
        <f>IFERROR(_xlfn.XLOOKUP(A13,'Hand Coded'!A:A,'Hand Coded'!G:G),"NOT FOUND")</f>
        <v>Southwest</v>
      </c>
      <c r="S13" s="29" t="str">
        <f t="shared" si="5"/>
        <v>✓</v>
      </c>
      <c r="T13" s="29">
        <f t="shared" si="6"/>
        <v>1</v>
      </c>
      <c r="U13" s="29" t="str">
        <f t="shared" si="7"/>
        <v>⚠ REVIEW</v>
      </c>
    </row>
    <row r="14" spans="1:21" x14ac:dyDescent="0.2">
      <c r="A14">
        <f>Jess!A14</f>
        <v>5699</v>
      </c>
      <c r="B14" t="str">
        <f>Jess!B14</f>
        <v>Oppose</v>
      </c>
      <c r="C14" t="str">
        <f>IFERROR(_xlfn.XLOOKUP(A14,'Hand Coded'!A:A,'Hand Coded'!B:B),"NOT FOUND")</f>
        <v>Oppose</v>
      </c>
      <c r="D14" s="29" t="str">
        <f t="shared" si="0"/>
        <v>✓</v>
      </c>
      <c r="E14" t="str">
        <f>Jess!C14</f>
        <v>public_process</v>
      </c>
      <c r="F14" t="str">
        <f>IFERROR(_xlfn.XLOOKUP(A14,'Hand Coded'!A:A,'Hand Coded'!C:C),"NOT FOUND")</f>
        <v>public_process</v>
      </c>
      <c r="G14" s="29" t="str">
        <f t="shared" si="1"/>
        <v>✓</v>
      </c>
      <c r="H14" t="str">
        <f>Jess!D14</f>
        <v>electric_transmission</v>
      </c>
      <c r="I14" t="str">
        <f>IFERROR(_xlfn.XLOOKUP(A14,'Hand Coded'!A:A,'Hand Coded'!D:D),"NOT FOUND")</f>
        <v>grid_reliability</v>
      </c>
      <c r="J14" s="29" t="str">
        <f t="shared" si="2"/>
        <v>✗</v>
      </c>
      <c r="K14" t="str">
        <f>Jess!E14</f>
        <v>nonprofit</v>
      </c>
      <c r="L14" t="str">
        <f>IFERROR(_xlfn.XLOOKUP(A14,'Hand Coded'!A:A,'Hand Coded'!E:E),"NOT FOUND")</f>
        <v>nonprofit</v>
      </c>
      <c r="M14" s="29" t="str">
        <f t="shared" si="3"/>
        <v>✓</v>
      </c>
      <c r="N14" t="str">
        <f>Jess!F14</f>
        <v>TX</v>
      </c>
      <c r="O14" t="str">
        <f>IFERROR(_xlfn.XLOOKUP(A14,'Hand Coded'!A:A,'Hand Coded'!F:F),"NOT FOUND")</f>
        <v>TX</v>
      </c>
      <c r="P14" s="29" t="str">
        <f t="shared" si="4"/>
        <v>✓</v>
      </c>
      <c r="Q14" t="str">
        <f>Jess!G14</f>
        <v>Southwest</v>
      </c>
      <c r="R14" t="str">
        <f>IFERROR(_xlfn.XLOOKUP(A14,'Hand Coded'!A:A,'Hand Coded'!G:G),"NOT FOUND")</f>
        <v>Southwest</v>
      </c>
      <c r="S14" s="29" t="str">
        <f t="shared" si="5"/>
        <v>✓</v>
      </c>
      <c r="T14" s="29">
        <f t="shared" si="6"/>
        <v>1</v>
      </c>
      <c r="U14" s="29" t="str">
        <f t="shared" si="7"/>
        <v>⚠ REVIEW</v>
      </c>
    </row>
    <row r="15" spans="1:21" x14ac:dyDescent="0.2">
      <c r="A15">
        <f>Jess!A15</f>
        <v>5733</v>
      </c>
      <c r="B15" t="str">
        <f>Jess!B15</f>
        <v>Support</v>
      </c>
      <c r="C15" t="str">
        <f>IFERROR(_xlfn.XLOOKUP(A15,'Hand Coded'!A:A,'Hand Coded'!B:B),"NOT FOUND")</f>
        <v>Support</v>
      </c>
      <c r="D15" s="29" t="str">
        <f t="shared" si="0"/>
        <v>✓</v>
      </c>
      <c r="E15" t="str">
        <f>Jess!C15</f>
        <v>grid_reliability</v>
      </c>
      <c r="F15" t="str">
        <f>IFERROR(_xlfn.XLOOKUP(A15,'Hand Coded'!A:A,'Hand Coded'!C:C),"NOT FOUND")</f>
        <v>grid_reliability</v>
      </c>
      <c r="G15" s="29" t="str">
        <f t="shared" si="1"/>
        <v>✓</v>
      </c>
      <c r="H15" t="str">
        <f>Jess!D15</f>
        <v>natural_gas_pipeline</v>
      </c>
      <c r="I15" t="str">
        <f>IFERROR(_xlfn.XLOOKUP(A15,'Hand Coded'!A:A,'Hand Coded'!D:D),"NOT FOUND")</f>
        <v>natural_gas_pipeline</v>
      </c>
      <c r="J15" s="29" t="str">
        <f t="shared" si="2"/>
        <v>✓</v>
      </c>
      <c r="K15" t="str">
        <f>Jess!E15</f>
        <v>government</v>
      </c>
      <c r="L15" t="str">
        <f>IFERROR(_xlfn.XLOOKUP(A15,'Hand Coded'!A:A,'Hand Coded'!E:E),"NOT FOUND")</f>
        <v>government</v>
      </c>
      <c r="M15" s="29" t="str">
        <f t="shared" si="3"/>
        <v>✓</v>
      </c>
      <c r="N15" t="str">
        <f>Jess!F15</f>
        <v>VA</v>
      </c>
      <c r="O15" t="str">
        <f>IFERROR(_xlfn.XLOOKUP(A15,'Hand Coded'!A:A,'Hand Coded'!F:F),"NOT FOUND")</f>
        <v>VA</v>
      </c>
      <c r="P15" s="29" t="str">
        <f t="shared" si="4"/>
        <v>✓</v>
      </c>
      <c r="Q15" t="str">
        <f>Jess!G15</f>
        <v>Southeast</v>
      </c>
      <c r="R15" t="str">
        <f>IFERROR(_xlfn.XLOOKUP(A15,'Hand Coded'!A:A,'Hand Coded'!G:G),"NOT FOUND")</f>
        <v>Southeast</v>
      </c>
      <c r="S15" s="29" t="str">
        <f t="shared" si="5"/>
        <v>✓</v>
      </c>
      <c r="T15" s="29">
        <f t="shared" si="6"/>
        <v>0</v>
      </c>
      <c r="U15" s="29" t="str">
        <f t="shared" si="7"/>
        <v>OK</v>
      </c>
    </row>
    <row r="16" spans="1:21" x14ac:dyDescent="0.2">
      <c r="A16">
        <f>Jess!A16</f>
        <v>5771</v>
      </c>
      <c r="B16" t="str">
        <f>Jess!B16</f>
        <v>Support</v>
      </c>
      <c r="C16" t="str">
        <f>IFERROR(_xlfn.XLOOKUP(A16,'Hand Coded'!A:A,'Hand Coded'!B:B),"NOT FOUND")</f>
        <v>Support</v>
      </c>
      <c r="D16" s="29" t="str">
        <f t="shared" si="0"/>
        <v>✓</v>
      </c>
      <c r="E16" t="str">
        <f>Jess!C16</f>
        <v>public_process</v>
      </c>
      <c r="F16" t="str">
        <f>IFERROR(_xlfn.XLOOKUP(A16,'Hand Coded'!A:A,'Hand Coded'!C:C),"NOT FOUND")</f>
        <v>public_process</v>
      </c>
      <c r="G16" s="29" t="str">
        <f t="shared" si="1"/>
        <v>✓</v>
      </c>
      <c r="H16" t="str">
        <f>Jess!D16</f>
        <v>electric_transmission</v>
      </c>
      <c r="I16" t="str">
        <f>IFERROR(_xlfn.XLOOKUP(A16,'Hand Coded'!A:A,'Hand Coded'!D:D),"NOT FOUND")</f>
        <v>grid_reliability</v>
      </c>
      <c r="J16" s="29" t="str">
        <f t="shared" si="2"/>
        <v>✗</v>
      </c>
      <c r="K16" t="str">
        <f>Jess!E16</f>
        <v>government</v>
      </c>
      <c r="L16" t="str">
        <f>IFERROR(_xlfn.XLOOKUP(A16,'Hand Coded'!A:A,'Hand Coded'!E:E),"NOT FOUND")</f>
        <v>government</v>
      </c>
      <c r="M16" s="29" t="str">
        <f t="shared" si="3"/>
        <v>✓</v>
      </c>
      <c r="N16" t="str">
        <f>Jess!F16</f>
        <v>IL</v>
      </c>
      <c r="O16" t="str">
        <f>IFERROR(_xlfn.XLOOKUP(A16,'Hand Coded'!A:A,'Hand Coded'!F:F),"NOT FOUND")</f>
        <v>IL</v>
      </c>
      <c r="P16" s="29" t="str">
        <f t="shared" si="4"/>
        <v>✓</v>
      </c>
      <c r="Q16" t="str">
        <f>Jess!G16</f>
        <v>Midwest</v>
      </c>
      <c r="R16" t="str">
        <f>IFERROR(_xlfn.XLOOKUP(A16,'Hand Coded'!A:A,'Hand Coded'!G:G),"NOT FOUND")</f>
        <v>Midwest</v>
      </c>
      <c r="S16" s="29" t="str">
        <f t="shared" si="5"/>
        <v>✓</v>
      </c>
      <c r="T16" s="29">
        <f t="shared" si="6"/>
        <v>1</v>
      </c>
      <c r="U16" s="29" t="str">
        <f t="shared" si="7"/>
        <v>⚠ REVIEW</v>
      </c>
    </row>
    <row r="17" spans="1:21" x14ac:dyDescent="0.2">
      <c r="A17">
        <f>Jess!A17</f>
        <v>5796</v>
      </c>
      <c r="B17" t="str">
        <f>Jess!B17</f>
        <v>Oppose</v>
      </c>
      <c r="C17" t="str">
        <f>IFERROR(_xlfn.XLOOKUP(A17,'Hand Coded'!A:A,'Hand Coded'!B:B),"NOT FOUND")</f>
        <v>Oppose</v>
      </c>
      <c r="D17" s="29" t="str">
        <f t="shared" si="0"/>
        <v>✓</v>
      </c>
      <c r="E17" t="str">
        <f>Jess!C17</f>
        <v>wildlife_ecosystem</v>
      </c>
      <c r="F17" t="str">
        <f>IFERROR(_xlfn.XLOOKUP(A17,'Hand Coded'!A:A,'Hand Coded'!C:C),"NOT FOUND")</f>
        <v>wildlife_ecosystem</v>
      </c>
      <c r="G17" s="29" t="str">
        <f t="shared" si="1"/>
        <v>✓</v>
      </c>
      <c r="H17" t="str">
        <f>Jess!D17</f>
        <v>natural_gas_pipeline</v>
      </c>
      <c r="I17" t="str">
        <f>IFERROR(_xlfn.XLOOKUP(A17,'Hand Coded'!A:A,'Hand Coded'!D:D),"NOT FOUND")</f>
        <v>natural_gas_pipeline</v>
      </c>
      <c r="J17" s="29" t="str">
        <f t="shared" si="2"/>
        <v>✓</v>
      </c>
      <c r="K17" t="str">
        <f>Jess!E17</f>
        <v>resident</v>
      </c>
      <c r="L17" t="str">
        <f>IFERROR(_xlfn.XLOOKUP(A17,'Hand Coded'!A:A,'Hand Coded'!E:E),"NOT FOUND")</f>
        <v>resident</v>
      </c>
      <c r="M17" s="29" t="str">
        <f t="shared" si="3"/>
        <v>✓</v>
      </c>
      <c r="N17" t="str">
        <f>Jess!F17</f>
        <v>NY</v>
      </c>
      <c r="O17" t="str">
        <f>IFERROR(_xlfn.XLOOKUP(A17,'Hand Coded'!A:A,'Hand Coded'!F:F),"NOT FOUND")</f>
        <v>NY</v>
      </c>
      <c r="P17" s="29" t="str">
        <f t="shared" si="4"/>
        <v>✓</v>
      </c>
      <c r="Q17" t="str">
        <f>Jess!G17</f>
        <v>Northeast</v>
      </c>
      <c r="R17" t="str">
        <f>IFERROR(_xlfn.XLOOKUP(A17,'Hand Coded'!A:A,'Hand Coded'!G:G),"NOT FOUND")</f>
        <v>Northeast</v>
      </c>
      <c r="S17" s="29" t="str">
        <f t="shared" si="5"/>
        <v>✓</v>
      </c>
      <c r="T17" s="29">
        <f t="shared" si="6"/>
        <v>0</v>
      </c>
      <c r="U17" s="29" t="str">
        <f t="shared" si="7"/>
        <v>OK</v>
      </c>
    </row>
    <row r="18" spans="1:21" x14ac:dyDescent="0.2">
      <c r="A18">
        <f>Jess!A18</f>
        <v>5807</v>
      </c>
      <c r="B18" t="str">
        <f>Jess!B18</f>
        <v>Support</v>
      </c>
      <c r="C18" t="str">
        <f>IFERROR(_xlfn.XLOOKUP(A18,'Hand Coded'!A:A,'Hand Coded'!B:B),"NOT FOUND")</f>
        <v>Support with Changes</v>
      </c>
      <c r="D18" s="29" t="str">
        <f t="shared" si="0"/>
        <v>✗</v>
      </c>
      <c r="E18" t="str">
        <f>Jess!C18</f>
        <v>public_process</v>
      </c>
      <c r="F18" t="str">
        <f>IFERROR(_xlfn.XLOOKUP(A18,'Hand Coded'!A:A,'Hand Coded'!C:C),"NOT FOUND")</f>
        <v>public_process</v>
      </c>
      <c r="G18" s="29" t="str">
        <f t="shared" si="1"/>
        <v>✓</v>
      </c>
      <c r="H18" t="str">
        <f>Jess!D18</f>
        <v>hydropower</v>
      </c>
      <c r="I18" t="str">
        <f>IFERROR(_xlfn.XLOOKUP(A18,'Hand Coded'!A:A,'Hand Coded'!D:D),"NOT FOUND")</f>
        <v>hydropower</v>
      </c>
      <c r="J18" s="29" t="str">
        <f t="shared" si="2"/>
        <v>✓</v>
      </c>
      <c r="K18" t="str">
        <f>Jess!E18</f>
        <v>resident</v>
      </c>
      <c r="L18" t="str">
        <f>IFERROR(_xlfn.XLOOKUP(A18,'Hand Coded'!A:A,'Hand Coded'!E:E),"NOT FOUND")</f>
        <v>resident</v>
      </c>
      <c r="M18" s="29" t="str">
        <f t="shared" si="3"/>
        <v>✓</v>
      </c>
      <c r="N18" t="str">
        <f>Jess!F18</f>
        <v>PA</v>
      </c>
      <c r="O18" t="str">
        <f>IFERROR(_xlfn.XLOOKUP(A18,'Hand Coded'!A:A,'Hand Coded'!F:F),"NOT FOUND")</f>
        <v>PA</v>
      </c>
      <c r="P18" s="29" t="str">
        <f t="shared" si="4"/>
        <v>✓</v>
      </c>
      <c r="Q18" t="str">
        <f>Jess!G18</f>
        <v>Northeast</v>
      </c>
      <c r="R18" t="str">
        <f>IFERROR(_xlfn.XLOOKUP(A18,'Hand Coded'!A:A,'Hand Coded'!G:G),"NOT FOUND")</f>
        <v>Northeast</v>
      </c>
      <c r="S18" s="29" t="str">
        <f t="shared" si="5"/>
        <v>✓</v>
      </c>
      <c r="T18" s="29">
        <f t="shared" si="6"/>
        <v>1</v>
      </c>
      <c r="U18" s="29" t="str">
        <f t="shared" si="7"/>
        <v>⚠ REVIEW</v>
      </c>
    </row>
    <row r="19" spans="1:21" x14ac:dyDescent="0.2">
      <c r="A19">
        <f>Jess!A19</f>
        <v>5810</v>
      </c>
      <c r="B19" t="str">
        <f>Jess!B19</f>
        <v>Support</v>
      </c>
      <c r="C19" t="str">
        <f>IFERROR(_xlfn.XLOOKUP(A19,'Hand Coded'!A:A,'Hand Coded'!B:B),"NOT FOUND")</f>
        <v>Support with Changes</v>
      </c>
      <c r="D19" s="29" t="str">
        <f t="shared" si="0"/>
        <v>✗</v>
      </c>
      <c r="E19" t="str">
        <f>Jess!C19</f>
        <v>public_process</v>
      </c>
      <c r="F19" t="str">
        <f>IFERROR(_xlfn.XLOOKUP(A19,'Hand Coded'!A:A,'Hand Coded'!C:C),"NOT FOUND")</f>
        <v>public_process</v>
      </c>
      <c r="G19" s="29" t="str">
        <f t="shared" si="1"/>
        <v>✓</v>
      </c>
      <c r="H19" t="str">
        <f>Jess!D19</f>
        <v>hydropower</v>
      </c>
      <c r="I19" t="str">
        <f>IFERROR(_xlfn.XLOOKUP(A19,'Hand Coded'!A:A,'Hand Coded'!D:D),"NOT FOUND")</f>
        <v>hydropower</v>
      </c>
      <c r="J19" s="29" t="str">
        <f t="shared" si="2"/>
        <v>✓</v>
      </c>
      <c r="K19" t="str">
        <f>Jess!E19</f>
        <v>nonprofit</v>
      </c>
      <c r="L19" t="str">
        <f>IFERROR(_xlfn.XLOOKUP(A19,'Hand Coded'!A:A,'Hand Coded'!E:E),"NOT FOUND")</f>
        <v>nonprofit</v>
      </c>
      <c r="M19" s="29" t="str">
        <f t="shared" si="3"/>
        <v>✓</v>
      </c>
      <c r="N19" t="str">
        <f>Jess!F19</f>
        <v>MN</v>
      </c>
      <c r="O19" t="str">
        <f>IFERROR(_xlfn.XLOOKUP(A19,'Hand Coded'!A:A,'Hand Coded'!F:F),"NOT FOUND")</f>
        <v>MN</v>
      </c>
      <c r="P19" s="29" t="str">
        <f t="shared" si="4"/>
        <v>✓</v>
      </c>
      <c r="Q19" t="str">
        <f>Jess!G19</f>
        <v>Midwest</v>
      </c>
      <c r="R19" t="str">
        <f>IFERROR(_xlfn.XLOOKUP(A19,'Hand Coded'!A:A,'Hand Coded'!G:G),"NOT FOUND")</f>
        <v>Midwest</v>
      </c>
      <c r="S19" s="29" t="str">
        <f t="shared" si="5"/>
        <v>✓</v>
      </c>
      <c r="T19" s="29">
        <f t="shared" si="6"/>
        <v>1</v>
      </c>
      <c r="U19" s="29" t="str">
        <f t="shared" si="7"/>
        <v>⚠ REVIEW</v>
      </c>
    </row>
    <row r="20" spans="1:21" x14ac:dyDescent="0.2">
      <c r="A20">
        <f>Jess!A20</f>
        <v>5844</v>
      </c>
      <c r="B20" t="str">
        <f>Jess!B20</f>
        <v>Support</v>
      </c>
      <c r="C20" t="str">
        <f>IFERROR(_xlfn.XLOOKUP(A20,'Hand Coded'!A:A,'Hand Coded'!B:B),"NOT FOUND")</f>
        <v>Neutral</v>
      </c>
      <c r="D20" s="29" t="str">
        <f t="shared" si="0"/>
        <v>✗</v>
      </c>
      <c r="E20" t="str">
        <f>Jess!C20</f>
        <v>economics_jobs</v>
      </c>
      <c r="F20" t="str">
        <f>IFERROR(_xlfn.XLOOKUP(A20,'Hand Coded'!A:A,'Hand Coded'!C:C),"NOT FOUND")</f>
        <v>economics_jobs</v>
      </c>
      <c r="G20" s="29" t="str">
        <f t="shared" si="1"/>
        <v>✓</v>
      </c>
      <c r="H20" t="str">
        <f>Jess!D20</f>
        <v>electric_transmission</v>
      </c>
      <c r="I20" t="str">
        <f>IFERROR(_xlfn.XLOOKUP(A20,'Hand Coded'!A:A,'Hand Coded'!D:D),"NOT FOUND")</f>
        <v>grid_reliability</v>
      </c>
      <c r="J20" s="29" t="str">
        <f t="shared" si="2"/>
        <v>✗</v>
      </c>
      <c r="K20" t="str">
        <f>Jess!E20</f>
        <v>government</v>
      </c>
      <c r="L20" t="str">
        <f>IFERROR(_xlfn.XLOOKUP(A20,'Hand Coded'!A:A,'Hand Coded'!E:E),"NOT FOUND")</f>
        <v>government</v>
      </c>
      <c r="M20" s="29" t="str">
        <f t="shared" si="3"/>
        <v>✓</v>
      </c>
      <c r="N20" t="str">
        <f>Jess!F20</f>
        <v>PA</v>
      </c>
      <c r="O20" t="str">
        <f>IFERROR(_xlfn.XLOOKUP(A20,'Hand Coded'!A:A,'Hand Coded'!F:F),"NOT FOUND")</f>
        <v>PA</v>
      </c>
      <c r="P20" s="29" t="str">
        <f t="shared" si="4"/>
        <v>✓</v>
      </c>
      <c r="Q20" t="str">
        <f>Jess!G20</f>
        <v>Northeast</v>
      </c>
      <c r="R20" t="str">
        <f>IFERROR(_xlfn.XLOOKUP(A20,'Hand Coded'!A:A,'Hand Coded'!G:G),"NOT FOUND")</f>
        <v>Northeast</v>
      </c>
      <c r="S20" s="29" t="str">
        <f t="shared" si="5"/>
        <v>✓</v>
      </c>
      <c r="T20" s="29">
        <f t="shared" si="6"/>
        <v>2</v>
      </c>
      <c r="U20" s="29" t="str">
        <f t="shared" si="7"/>
        <v>⚠ REVIEW</v>
      </c>
    </row>
    <row r="21" spans="1:21" x14ac:dyDescent="0.2">
      <c r="A21">
        <f>Jess!A21</f>
        <v>5891</v>
      </c>
      <c r="B21" t="str">
        <f>Jess!B21</f>
        <v>Oppose</v>
      </c>
      <c r="C21" t="str">
        <f>IFERROR(_xlfn.XLOOKUP(A21,'Hand Coded'!A:A,'Hand Coded'!B:B),"NOT FOUND")</f>
        <v>Neutral</v>
      </c>
      <c r="D21" s="29" t="str">
        <f t="shared" si="0"/>
        <v>✗</v>
      </c>
      <c r="E21" t="str">
        <f>Jess!C21</f>
        <v>wildlife_ecosystem</v>
      </c>
      <c r="F21" t="str">
        <f>IFERROR(_xlfn.XLOOKUP(A21,'Hand Coded'!A:A,'Hand Coded'!C:C),"NOT FOUND")</f>
        <v>wildlife_ecosystem</v>
      </c>
      <c r="G21" s="29" t="str">
        <f t="shared" si="1"/>
        <v>✓</v>
      </c>
      <c r="H21" t="str">
        <f>Jess!D21</f>
        <v>natural_gas_pipeline</v>
      </c>
      <c r="I21" t="str">
        <f>IFERROR(_xlfn.XLOOKUP(A21,'Hand Coded'!A:A,'Hand Coded'!D:D),"NOT FOUND")</f>
        <v>natural_gas_pipeline</v>
      </c>
      <c r="J21" s="29" t="str">
        <f t="shared" si="2"/>
        <v>✓</v>
      </c>
      <c r="K21" t="str">
        <f>Jess!E21</f>
        <v>resident</v>
      </c>
      <c r="L21" t="str">
        <f>IFERROR(_xlfn.XLOOKUP(A21,'Hand Coded'!A:A,'Hand Coded'!E:E),"NOT FOUND")</f>
        <v>resident</v>
      </c>
      <c r="M21" s="29" t="str">
        <f t="shared" si="3"/>
        <v>✓</v>
      </c>
      <c r="N21" t="str">
        <f>Jess!F21</f>
        <v>NY</v>
      </c>
      <c r="O21" t="str">
        <f>IFERROR(_xlfn.XLOOKUP(A21,'Hand Coded'!A:A,'Hand Coded'!F:F),"NOT FOUND")</f>
        <v>NY</v>
      </c>
      <c r="P21" s="29" t="str">
        <f t="shared" si="4"/>
        <v>✓</v>
      </c>
      <c r="Q21" t="str">
        <f>Jess!G21</f>
        <v>Northeast</v>
      </c>
      <c r="R21" t="str">
        <f>IFERROR(_xlfn.XLOOKUP(A21,'Hand Coded'!A:A,'Hand Coded'!G:G),"NOT FOUND")</f>
        <v>Northeast</v>
      </c>
      <c r="S21" s="29" t="str">
        <f t="shared" si="5"/>
        <v>✓</v>
      </c>
      <c r="T21" s="29">
        <f t="shared" si="6"/>
        <v>1</v>
      </c>
      <c r="U21" s="29" t="str">
        <f t="shared" si="7"/>
        <v>⚠ REVIEW</v>
      </c>
    </row>
    <row r="22" spans="1:21" x14ac:dyDescent="0.2">
      <c r="A22">
        <f>Jess!A22</f>
        <v>5893</v>
      </c>
      <c r="B22" t="str">
        <f>Jess!B22</f>
        <v>Support</v>
      </c>
      <c r="C22" t="str">
        <f>IFERROR(_xlfn.XLOOKUP(A22,'Hand Coded'!A:A,'Hand Coded'!B:B),"NOT FOUND")</f>
        <v>Support</v>
      </c>
      <c r="D22" s="29" t="str">
        <f t="shared" si="0"/>
        <v>✓</v>
      </c>
      <c r="E22" t="str">
        <f>Jess!C22</f>
        <v>public_process</v>
      </c>
      <c r="F22" t="str">
        <f>IFERROR(_xlfn.XLOOKUP(A22,'Hand Coded'!A:A,'Hand Coded'!C:C),"NOT FOUND")</f>
        <v>public_process</v>
      </c>
      <c r="G22" s="29" t="str">
        <f t="shared" si="1"/>
        <v>✓</v>
      </c>
      <c r="H22" t="str">
        <f>Jess!D22</f>
        <v>natural_gas_pipeline</v>
      </c>
      <c r="I22" t="str">
        <f>IFERROR(_xlfn.XLOOKUP(A22,'Hand Coded'!A:A,'Hand Coded'!D:D),"NOT FOUND")</f>
        <v>natural_gas_pipeline</v>
      </c>
      <c r="J22" s="29" t="str">
        <f t="shared" si="2"/>
        <v>✓</v>
      </c>
      <c r="K22" t="str">
        <f>Jess!E22</f>
        <v>nonprofit</v>
      </c>
      <c r="L22" t="str">
        <f>IFERROR(_xlfn.XLOOKUP(A22,'Hand Coded'!A:A,'Hand Coded'!E:E),"NOT FOUND")</f>
        <v>nonprofit</v>
      </c>
      <c r="M22" s="29" t="str">
        <f t="shared" si="3"/>
        <v>✓</v>
      </c>
      <c r="N22" t="str">
        <f>Jess!F22</f>
        <v>KY</v>
      </c>
      <c r="O22" t="str">
        <f>IFERROR(_xlfn.XLOOKUP(A22,'Hand Coded'!A:A,'Hand Coded'!F:F),"NOT FOUND")</f>
        <v>KY</v>
      </c>
      <c r="P22" s="29" t="str">
        <f t="shared" si="4"/>
        <v>✓</v>
      </c>
      <c r="Q22" t="str">
        <f>Jess!G22</f>
        <v>East</v>
      </c>
      <c r="R22" t="str">
        <f>IFERROR(_xlfn.XLOOKUP(A22,'Hand Coded'!A:A,'Hand Coded'!G:G),"NOT FOUND")</f>
        <v>East</v>
      </c>
      <c r="S22" s="29" t="str">
        <f t="shared" si="5"/>
        <v>✓</v>
      </c>
      <c r="T22" s="29">
        <f t="shared" si="6"/>
        <v>0</v>
      </c>
      <c r="U22" s="29" t="str">
        <f t="shared" si="7"/>
        <v>OK</v>
      </c>
    </row>
    <row r="23" spans="1:21" x14ac:dyDescent="0.2">
      <c r="A23">
        <f>Jess!A23</f>
        <v>5978</v>
      </c>
      <c r="B23" t="str">
        <f>Jess!B23</f>
        <v>Support</v>
      </c>
      <c r="C23" t="str">
        <f>IFERROR(_xlfn.XLOOKUP(A23,'Hand Coded'!A:A,'Hand Coded'!B:B),"NOT FOUND")</f>
        <v>Support with Changes</v>
      </c>
      <c r="D23" s="29" t="str">
        <f t="shared" si="0"/>
        <v>✗</v>
      </c>
      <c r="E23" t="str">
        <f>Jess!C23</f>
        <v>water_impacts</v>
      </c>
      <c r="F23" t="str">
        <f>IFERROR(_xlfn.XLOOKUP(A23,'Hand Coded'!A:A,'Hand Coded'!C:C),"NOT FOUND")</f>
        <v>water_impacts</v>
      </c>
      <c r="G23" s="29" t="str">
        <f t="shared" si="1"/>
        <v>✓</v>
      </c>
      <c r="H23" t="str">
        <f>Jess!D23</f>
        <v>hydropower</v>
      </c>
      <c r="I23" t="str">
        <f>IFERROR(_xlfn.XLOOKUP(A23,'Hand Coded'!A:A,'Hand Coded'!D:D),"NOT FOUND")</f>
        <v>hydropower</v>
      </c>
      <c r="J23" s="29" t="str">
        <f t="shared" si="2"/>
        <v>✓</v>
      </c>
      <c r="K23" t="str">
        <f>Jess!E23</f>
        <v>business</v>
      </c>
      <c r="L23" t="str">
        <f>IFERROR(_xlfn.XLOOKUP(A23,'Hand Coded'!A:A,'Hand Coded'!E:E),"NOT FOUND")</f>
        <v>business</v>
      </c>
      <c r="M23" s="29" t="str">
        <f t="shared" si="3"/>
        <v>✓</v>
      </c>
      <c r="N23" t="str">
        <f>Jess!F23</f>
        <v>ME</v>
      </c>
      <c r="O23" t="str">
        <f>IFERROR(_xlfn.XLOOKUP(A23,'Hand Coded'!A:A,'Hand Coded'!F:F),"NOT FOUND")</f>
        <v>ME</v>
      </c>
      <c r="P23" s="29" t="str">
        <f t="shared" si="4"/>
        <v>✓</v>
      </c>
      <c r="Q23" t="str">
        <f>Jess!G23</f>
        <v>Northeast</v>
      </c>
      <c r="R23" t="str">
        <f>IFERROR(_xlfn.XLOOKUP(A23,'Hand Coded'!A:A,'Hand Coded'!G:G),"NOT FOUND")</f>
        <v>Northeast</v>
      </c>
      <c r="S23" s="29" t="str">
        <f t="shared" si="5"/>
        <v>✓</v>
      </c>
      <c r="T23" s="29">
        <f t="shared" si="6"/>
        <v>1</v>
      </c>
      <c r="U23" s="29" t="str">
        <f t="shared" si="7"/>
        <v>⚠ REVIEW</v>
      </c>
    </row>
    <row r="24" spans="1:21" x14ac:dyDescent="0.2">
      <c r="A24">
        <f>Jess!A24</f>
        <v>6002</v>
      </c>
      <c r="B24" t="str">
        <f>Jess!B24</f>
        <v>Oppose</v>
      </c>
      <c r="C24" t="str">
        <f>IFERROR(_xlfn.XLOOKUP(A24,'Hand Coded'!A:A,'Hand Coded'!B:B),"NOT FOUND")</f>
        <v>Oppose</v>
      </c>
      <c r="D24" s="29" t="str">
        <f t="shared" si="0"/>
        <v>✓</v>
      </c>
      <c r="E24" t="str">
        <f>Jess!C24</f>
        <v>wildlife_ecosystem</v>
      </c>
      <c r="F24" t="str">
        <f>IFERROR(_xlfn.XLOOKUP(A24,'Hand Coded'!A:A,'Hand Coded'!C:C),"NOT FOUND")</f>
        <v>wildlife_ecosystem</v>
      </c>
      <c r="G24" s="29" t="str">
        <f t="shared" si="1"/>
        <v>✓</v>
      </c>
      <c r="H24" t="str">
        <f>Jess!D24</f>
        <v>natural_gas_pipeline</v>
      </c>
      <c r="I24" t="str">
        <f>IFERROR(_xlfn.XLOOKUP(A24,'Hand Coded'!A:A,'Hand Coded'!D:D),"NOT FOUND")</f>
        <v>natural_gas_pipeline</v>
      </c>
      <c r="J24" s="29" t="str">
        <f t="shared" si="2"/>
        <v>✓</v>
      </c>
      <c r="K24" t="str">
        <f>Jess!E24</f>
        <v>resident</v>
      </c>
      <c r="L24" t="str">
        <f>IFERROR(_xlfn.XLOOKUP(A24,'Hand Coded'!A:A,'Hand Coded'!E:E),"NOT FOUND")</f>
        <v>resident</v>
      </c>
      <c r="M24" s="29" t="str">
        <f t="shared" si="3"/>
        <v>✓</v>
      </c>
      <c r="N24" t="str">
        <f>Jess!F24</f>
        <v>NY</v>
      </c>
      <c r="O24" t="str">
        <f>IFERROR(_xlfn.XLOOKUP(A24,'Hand Coded'!A:A,'Hand Coded'!F:F),"NOT FOUND")</f>
        <v>NY</v>
      </c>
      <c r="P24" s="29" t="str">
        <f t="shared" si="4"/>
        <v>✓</v>
      </c>
      <c r="Q24" t="str">
        <f>Jess!G24</f>
        <v>Northeast</v>
      </c>
      <c r="R24" t="str">
        <f>IFERROR(_xlfn.XLOOKUP(A24,'Hand Coded'!A:A,'Hand Coded'!G:G),"NOT FOUND")</f>
        <v>Northeast</v>
      </c>
      <c r="S24" s="29" t="str">
        <f t="shared" si="5"/>
        <v>✓</v>
      </c>
      <c r="T24" s="29">
        <f t="shared" si="6"/>
        <v>0</v>
      </c>
      <c r="U24" s="29" t="str">
        <f t="shared" si="7"/>
        <v>OK</v>
      </c>
    </row>
    <row r="25" spans="1:21" x14ac:dyDescent="0.2">
      <c r="A25">
        <f>Jess!A25</f>
        <v>6007</v>
      </c>
      <c r="B25" t="str">
        <f>Jess!B25</f>
        <v>Neutral</v>
      </c>
      <c r="C25" t="str">
        <f>IFERROR(_xlfn.XLOOKUP(A25,'Hand Coded'!A:A,'Hand Coded'!B:B),"NOT FOUND")</f>
        <v>Neutral</v>
      </c>
      <c r="D25" s="29" t="str">
        <f t="shared" si="0"/>
        <v>✓</v>
      </c>
      <c r="E25" t="str">
        <f>Jess!C25</f>
        <v>property_rights</v>
      </c>
      <c r="F25" t="str">
        <f>IFERROR(_xlfn.XLOOKUP(A25,'Hand Coded'!A:A,'Hand Coded'!C:C),"NOT FOUND")</f>
        <v>property_rights</v>
      </c>
      <c r="G25" s="29" t="str">
        <f t="shared" si="1"/>
        <v>✓</v>
      </c>
      <c r="H25" t="str">
        <f>Jess!D25</f>
        <v>natural_gas_pipeline</v>
      </c>
      <c r="I25" t="str">
        <f>IFERROR(_xlfn.XLOOKUP(A25,'Hand Coded'!A:A,'Hand Coded'!D:D),"NOT FOUND")</f>
        <v>natural_gas_pipeline</v>
      </c>
      <c r="J25" s="29" t="str">
        <f t="shared" si="2"/>
        <v>✓</v>
      </c>
      <c r="K25" t="str">
        <f>Jess!E25</f>
        <v>resident</v>
      </c>
      <c r="L25" t="str">
        <f>IFERROR(_xlfn.XLOOKUP(A25,'Hand Coded'!A:A,'Hand Coded'!E:E),"NOT FOUND")</f>
        <v>resident</v>
      </c>
      <c r="M25" s="29" t="str">
        <f t="shared" si="3"/>
        <v>✓</v>
      </c>
      <c r="N25" t="str">
        <f>Jess!F25</f>
        <v>NY</v>
      </c>
      <c r="O25" t="str">
        <f>IFERROR(_xlfn.XLOOKUP(A25,'Hand Coded'!A:A,'Hand Coded'!F:F),"NOT FOUND")</f>
        <v>NY</v>
      </c>
      <c r="P25" s="29" t="str">
        <f t="shared" si="4"/>
        <v>✓</v>
      </c>
      <c r="Q25" t="str">
        <f>Jess!G25</f>
        <v>Northeast</v>
      </c>
      <c r="R25" t="str">
        <f>IFERROR(_xlfn.XLOOKUP(A25,'Hand Coded'!A:A,'Hand Coded'!G:G),"NOT FOUND")</f>
        <v>Northeast</v>
      </c>
      <c r="S25" s="29" t="str">
        <f t="shared" si="5"/>
        <v>✓</v>
      </c>
      <c r="T25" s="29">
        <f t="shared" si="6"/>
        <v>0</v>
      </c>
      <c r="U25" s="29" t="str">
        <f t="shared" si="7"/>
        <v>OK</v>
      </c>
    </row>
    <row r="26" spans="1:21" x14ac:dyDescent="0.2">
      <c r="A26">
        <f>Jess!A26</f>
        <v>6026</v>
      </c>
      <c r="B26" t="str">
        <f>Jess!B26</f>
        <v>Neutral</v>
      </c>
      <c r="C26" t="str">
        <f>IFERROR(_xlfn.XLOOKUP(A26,'Hand Coded'!A:A,'Hand Coded'!B:B),"NOT FOUND")</f>
        <v>Neutral</v>
      </c>
      <c r="D26" s="29" t="str">
        <f t="shared" si="0"/>
        <v>✓</v>
      </c>
      <c r="E26" t="str">
        <f>Jess!C26</f>
        <v>property_rights</v>
      </c>
      <c r="F26" t="str">
        <f>IFERROR(_xlfn.XLOOKUP(A26,'Hand Coded'!A:A,'Hand Coded'!C:C),"NOT FOUND")</f>
        <v>property_rights</v>
      </c>
      <c r="G26" s="29" t="str">
        <f t="shared" si="1"/>
        <v>✓</v>
      </c>
      <c r="H26" t="str">
        <f>Jess!D26</f>
        <v>natural_gas_pipeline</v>
      </c>
      <c r="I26" t="str">
        <f>IFERROR(_xlfn.XLOOKUP(A26,'Hand Coded'!A:A,'Hand Coded'!D:D),"NOT FOUND")</f>
        <v>natural_gas_pipeline</v>
      </c>
      <c r="J26" s="29" t="str">
        <f t="shared" si="2"/>
        <v>✓</v>
      </c>
      <c r="K26" t="str">
        <f>Jess!E26</f>
        <v>resident</v>
      </c>
      <c r="L26" t="str">
        <f>IFERROR(_xlfn.XLOOKUP(A26,'Hand Coded'!A:A,'Hand Coded'!E:E),"NOT FOUND")</f>
        <v>resident</v>
      </c>
      <c r="M26" s="29" t="str">
        <f t="shared" si="3"/>
        <v>✓</v>
      </c>
      <c r="N26" t="str">
        <f>Jess!F26</f>
        <v>NY</v>
      </c>
      <c r="O26" t="str">
        <f>IFERROR(_xlfn.XLOOKUP(A26,'Hand Coded'!A:A,'Hand Coded'!F:F),"NOT FOUND")</f>
        <v>NY</v>
      </c>
      <c r="P26" s="29" t="str">
        <f t="shared" si="4"/>
        <v>✓</v>
      </c>
      <c r="Q26" t="str">
        <f>Jess!G26</f>
        <v>Northeast</v>
      </c>
      <c r="R26" t="str">
        <f>IFERROR(_xlfn.XLOOKUP(A26,'Hand Coded'!A:A,'Hand Coded'!G:G),"NOT FOUND")</f>
        <v>Northeast</v>
      </c>
      <c r="S26" s="29" t="str">
        <f t="shared" si="5"/>
        <v>✓</v>
      </c>
      <c r="T26" s="29">
        <f t="shared" si="6"/>
        <v>0</v>
      </c>
      <c r="U26" s="29" t="str">
        <f t="shared" si="7"/>
        <v>OK</v>
      </c>
    </row>
    <row r="27" spans="1:21" x14ac:dyDescent="0.2">
      <c r="A27">
        <f>Jess!A27</f>
        <v>6121</v>
      </c>
      <c r="B27" t="str">
        <f>Jess!B27</f>
        <v>Neutral</v>
      </c>
      <c r="C27" t="str">
        <f>IFERROR(_xlfn.XLOOKUP(A27,'Hand Coded'!A:A,'Hand Coded'!B:B),"NOT FOUND")</f>
        <v>Neutral</v>
      </c>
      <c r="D27" s="29" t="str">
        <f t="shared" si="0"/>
        <v>✓</v>
      </c>
      <c r="E27" t="str">
        <f>Jess!C27</f>
        <v>wildlife_ecosystem</v>
      </c>
      <c r="F27" t="str">
        <f>IFERROR(_xlfn.XLOOKUP(A27,'Hand Coded'!A:A,'Hand Coded'!C:C),"NOT FOUND")</f>
        <v>wildlife_ecosystem</v>
      </c>
      <c r="G27" s="29" t="str">
        <f t="shared" si="1"/>
        <v>✓</v>
      </c>
      <c r="H27" t="str">
        <f>Jess!D27</f>
        <v>natural_gas_pipeline</v>
      </c>
      <c r="I27" t="str">
        <f>IFERROR(_xlfn.XLOOKUP(A27,'Hand Coded'!A:A,'Hand Coded'!D:D),"NOT FOUND")</f>
        <v>natural_gas_pipeline</v>
      </c>
      <c r="J27" s="29" t="str">
        <f t="shared" si="2"/>
        <v>✓</v>
      </c>
      <c r="K27" t="str">
        <f>Jess!E27</f>
        <v>business</v>
      </c>
      <c r="L27" t="str">
        <f>IFERROR(_xlfn.XLOOKUP(A27,'Hand Coded'!A:A,'Hand Coded'!E:E),"NOT FOUND")</f>
        <v>business</v>
      </c>
      <c r="M27" s="29" t="str">
        <f t="shared" si="3"/>
        <v>✓</v>
      </c>
      <c r="N27" t="str">
        <f>Jess!F27</f>
        <v>WI</v>
      </c>
      <c r="O27" t="str">
        <f>IFERROR(_xlfn.XLOOKUP(A27,'Hand Coded'!A:A,'Hand Coded'!F:F),"NOT FOUND")</f>
        <v>WI</v>
      </c>
      <c r="P27" s="29" t="str">
        <f t="shared" si="4"/>
        <v>✓</v>
      </c>
      <c r="Q27" t="str">
        <f>Jess!G27</f>
        <v>Midwest</v>
      </c>
      <c r="R27" t="str">
        <f>IFERROR(_xlfn.XLOOKUP(A27,'Hand Coded'!A:A,'Hand Coded'!G:G),"NOT FOUND")</f>
        <v>Midwest</v>
      </c>
      <c r="S27" s="29" t="str">
        <f t="shared" si="5"/>
        <v>✓</v>
      </c>
      <c r="T27" s="29">
        <f t="shared" si="6"/>
        <v>0</v>
      </c>
      <c r="U27" s="29" t="str">
        <f t="shared" si="7"/>
        <v>OK</v>
      </c>
    </row>
    <row r="28" spans="1:21" x14ac:dyDescent="0.2">
      <c r="A28">
        <f>Jess!A28</f>
        <v>6126</v>
      </c>
      <c r="B28" t="str">
        <f>Jess!B28</f>
        <v>Neutral</v>
      </c>
      <c r="C28" t="str">
        <f>IFERROR(_xlfn.XLOOKUP(A28,'Hand Coded'!A:A,'Hand Coded'!B:B),"NOT FOUND")</f>
        <v>Neutral</v>
      </c>
      <c r="D28" s="29" t="str">
        <f t="shared" si="0"/>
        <v>✓</v>
      </c>
      <c r="E28" t="str">
        <f>Jess!C28</f>
        <v>public_process</v>
      </c>
      <c r="F28" t="str">
        <f>IFERROR(_xlfn.XLOOKUP(A28,'Hand Coded'!A:A,'Hand Coded'!C:C),"NOT FOUND")</f>
        <v>public_process</v>
      </c>
      <c r="G28" s="29" t="str">
        <f t="shared" si="1"/>
        <v>✓</v>
      </c>
      <c r="H28" t="str">
        <f>Jess!D28</f>
        <v>natural_gas_pipeline</v>
      </c>
      <c r="I28" t="str">
        <f>IFERROR(_xlfn.XLOOKUP(A28,'Hand Coded'!A:A,'Hand Coded'!D:D),"NOT FOUND")</f>
        <v>natural_gas_pipeline</v>
      </c>
      <c r="J28" s="29" t="str">
        <f t="shared" si="2"/>
        <v>✓</v>
      </c>
      <c r="K28" t="str">
        <f>Jess!E28</f>
        <v>resident</v>
      </c>
      <c r="L28" t="str">
        <f>IFERROR(_xlfn.XLOOKUP(A28,'Hand Coded'!A:A,'Hand Coded'!E:E),"NOT FOUND")</f>
        <v>resident</v>
      </c>
      <c r="M28" s="29" t="str">
        <f t="shared" si="3"/>
        <v>✓</v>
      </c>
      <c r="N28" t="str">
        <f>Jess!F28</f>
        <v>NY</v>
      </c>
      <c r="O28" t="str">
        <f>IFERROR(_xlfn.XLOOKUP(A28,'Hand Coded'!A:A,'Hand Coded'!F:F),"NOT FOUND")</f>
        <v>NY</v>
      </c>
      <c r="P28" s="29" t="str">
        <f t="shared" si="4"/>
        <v>✓</v>
      </c>
      <c r="Q28" t="str">
        <f>Jess!G28</f>
        <v>Northeast</v>
      </c>
      <c r="R28" t="str">
        <f>IFERROR(_xlfn.XLOOKUP(A28,'Hand Coded'!A:A,'Hand Coded'!G:G),"NOT FOUND")</f>
        <v>Northeast</v>
      </c>
      <c r="S28" s="29" t="str">
        <f t="shared" si="5"/>
        <v>✓</v>
      </c>
      <c r="T28" s="29">
        <f t="shared" si="6"/>
        <v>0</v>
      </c>
      <c r="U28" s="29" t="str">
        <f t="shared" si="7"/>
        <v>OK</v>
      </c>
    </row>
    <row r="29" spans="1:21" x14ac:dyDescent="0.2">
      <c r="A29">
        <f>Jess!A29</f>
        <v>6131</v>
      </c>
      <c r="B29" t="str">
        <f>Jess!B29</f>
        <v>Neutral</v>
      </c>
      <c r="C29" t="str">
        <f>IFERROR(_xlfn.XLOOKUP(A29,'Hand Coded'!A:A,'Hand Coded'!B:B),"NOT FOUND")</f>
        <v>Neutral</v>
      </c>
      <c r="D29" s="29" t="str">
        <f t="shared" si="0"/>
        <v>✓</v>
      </c>
      <c r="E29" t="str">
        <f>Jess!C29</f>
        <v>public_process</v>
      </c>
      <c r="F29" t="str">
        <f>IFERROR(_xlfn.XLOOKUP(A29,'Hand Coded'!A:A,'Hand Coded'!C:C),"NOT FOUND")</f>
        <v>public_process</v>
      </c>
      <c r="G29" s="29" t="str">
        <f t="shared" si="1"/>
        <v>✓</v>
      </c>
      <c r="H29" t="str">
        <f>Jess!D29</f>
        <v>hydropower</v>
      </c>
      <c r="I29" t="str">
        <f>IFERROR(_xlfn.XLOOKUP(A29,'Hand Coded'!A:A,'Hand Coded'!D:D),"NOT FOUND")</f>
        <v>hydropower</v>
      </c>
      <c r="J29" s="29" t="str">
        <f t="shared" si="2"/>
        <v>✓</v>
      </c>
      <c r="K29" t="str">
        <f>Jess!E29</f>
        <v>resident</v>
      </c>
      <c r="L29" t="str">
        <f>IFERROR(_xlfn.XLOOKUP(A29,'Hand Coded'!A:A,'Hand Coded'!E:E),"NOT FOUND")</f>
        <v>resident</v>
      </c>
      <c r="M29" s="29" t="str">
        <f t="shared" si="3"/>
        <v>✓</v>
      </c>
      <c r="N29" t="str">
        <f>Jess!F29</f>
        <v>WA</v>
      </c>
      <c r="O29" t="str">
        <f>IFERROR(_xlfn.XLOOKUP(A29,'Hand Coded'!A:A,'Hand Coded'!F:F),"NOT FOUND")</f>
        <v>WA</v>
      </c>
      <c r="P29" s="29" t="str">
        <f t="shared" si="4"/>
        <v>✓</v>
      </c>
      <c r="Q29" t="str">
        <f>Jess!G29</f>
        <v>Northwest</v>
      </c>
      <c r="R29" t="str">
        <f>IFERROR(_xlfn.XLOOKUP(A29,'Hand Coded'!A:A,'Hand Coded'!G:G),"NOT FOUND")</f>
        <v>Northwest</v>
      </c>
      <c r="S29" s="29" t="str">
        <f t="shared" si="5"/>
        <v>✓</v>
      </c>
      <c r="T29" s="29">
        <f t="shared" si="6"/>
        <v>0</v>
      </c>
      <c r="U29" s="29" t="str">
        <f t="shared" si="7"/>
        <v>OK</v>
      </c>
    </row>
    <row r="30" spans="1:21" x14ac:dyDescent="0.2">
      <c r="A30">
        <f>Jess!A30</f>
        <v>6168</v>
      </c>
      <c r="B30" t="str">
        <f>Jess!B30</f>
        <v>Neutral</v>
      </c>
      <c r="C30" t="str">
        <f>IFERROR(_xlfn.XLOOKUP(A30,'Hand Coded'!A:A,'Hand Coded'!B:B),"NOT FOUND")</f>
        <v>Neutral</v>
      </c>
      <c r="D30" s="29" t="str">
        <f t="shared" si="0"/>
        <v>✓</v>
      </c>
      <c r="E30" t="str">
        <f>Jess!C30</f>
        <v>public_process</v>
      </c>
      <c r="F30" t="str">
        <f>IFERROR(_xlfn.XLOOKUP(A30,'Hand Coded'!A:A,'Hand Coded'!C:C),"NOT FOUND")</f>
        <v>public_process</v>
      </c>
      <c r="G30" s="29" t="str">
        <f t="shared" si="1"/>
        <v>✓</v>
      </c>
      <c r="H30" t="str">
        <f>Jess!D30</f>
        <v>electric_transmission</v>
      </c>
      <c r="I30" t="str">
        <f>IFERROR(_xlfn.XLOOKUP(A30,'Hand Coded'!A:A,'Hand Coded'!D:D),"NOT FOUND")</f>
        <v>grid_reliability</v>
      </c>
      <c r="J30" s="29" t="str">
        <f t="shared" si="2"/>
        <v>✗</v>
      </c>
      <c r="K30" t="str">
        <f>Jess!E30</f>
        <v>organization</v>
      </c>
      <c r="L30" t="str">
        <f>IFERROR(_xlfn.XLOOKUP(A30,'Hand Coded'!A:A,'Hand Coded'!E:E),"NOT FOUND")</f>
        <v>organization</v>
      </c>
      <c r="M30" s="29" t="str">
        <f t="shared" si="3"/>
        <v>✓</v>
      </c>
      <c r="N30" t="str">
        <f>Jess!F30</f>
        <v>IL</v>
      </c>
      <c r="O30" t="str">
        <f>IFERROR(_xlfn.XLOOKUP(A30,'Hand Coded'!A:A,'Hand Coded'!F:F),"NOT FOUND")</f>
        <v>IL</v>
      </c>
      <c r="P30" s="29" t="str">
        <f t="shared" si="4"/>
        <v>✓</v>
      </c>
      <c r="Q30" t="str">
        <f>Jess!G30</f>
        <v>Midwest</v>
      </c>
      <c r="R30" t="str">
        <f>IFERROR(_xlfn.XLOOKUP(A30,'Hand Coded'!A:A,'Hand Coded'!G:G),"NOT FOUND")</f>
        <v>Midwest</v>
      </c>
      <c r="S30" s="29" t="str">
        <f t="shared" si="5"/>
        <v>✓</v>
      </c>
      <c r="T30" s="29">
        <f t="shared" si="6"/>
        <v>1</v>
      </c>
      <c r="U30" s="29" t="str">
        <f t="shared" si="7"/>
        <v>⚠ REVIEW</v>
      </c>
    </row>
    <row r="31" spans="1:21" x14ac:dyDescent="0.2">
      <c r="A31">
        <f>Jess!A31</f>
        <v>6279</v>
      </c>
      <c r="B31" t="str">
        <f>Jess!B31</f>
        <v>Oppose</v>
      </c>
      <c r="C31" t="str">
        <f>IFERROR(_xlfn.XLOOKUP(A31,'Hand Coded'!A:A,'Hand Coded'!B:B),"NOT FOUND")</f>
        <v>Oppose</v>
      </c>
      <c r="D31" s="29" t="str">
        <f t="shared" si="0"/>
        <v>✓</v>
      </c>
      <c r="E31" t="str">
        <f>Jess!C31</f>
        <v>grid_reliability</v>
      </c>
      <c r="F31" t="str">
        <f>IFERROR(_xlfn.XLOOKUP(A31,'Hand Coded'!A:A,'Hand Coded'!C:C),"NOT FOUND")</f>
        <v>grid_reliability</v>
      </c>
      <c r="G31" s="29" t="str">
        <f t="shared" si="1"/>
        <v>✓</v>
      </c>
      <c r="H31" t="str">
        <f>Jess!D31</f>
        <v>other</v>
      </c>
      <c r="I31" t="str">
        <f>IFERROR(_xlfn.XLOOKUP(A31,'Hand Coded'!A:A,'Hand Coded'!D:D),"NOT FOUND")</f>
        <v>other</v>
      </c>
      <c r="J31" s="29" t="str">
        <f t="shared" si="2"/>
        <v>✓</v>
      </c>
      <c r="K31" t="str">
        <f>Jess!E31</f>
        <v>organization</v>
      </c>
      <c r="L31" t="str">
        <f>IFERROR(_xlfn.XLOOKUP(A31,'Hand Coded'!A:A,'Hand Coded'!E:E),"NOT FOUND")</f>
        <v>organization</v>
      </c>
      <c r="M31" s="29" t="str">
        <f t="shared" si="3"/>
        <v>✓</v>
      </c>
      <c r="N31" t="str">
        <f>Jess!F31</f>
        <v>MN</v>
      </c>
      <c r="O31" t="str">
        <f>IFERROR(_xlfn.XLOOKUP(A31,'Hand Coded'!A:A,'Hand Coded'!F:F),"NOT FOUND")</f>
        <v>MN</v>
      </c>
      <c r="P31" s="29" t="str">
        <f t="shared" si="4"/>
        <v>✓</v>
      </c>
      <c r="Q31" t="str">
        <f>Jess!G31</f>
        <v>Midwest</v>
      </c>
      <c r="R31" t="str">
        <f>IFERROR(_xlfn.XLOOKUP(A31,'Hand Coded'!A:A,'Hand Coded'!G:G),"NOT FOUND")</f>
        <v>Midwest</v>
      </c>
      <c r="S31" s="29" t="str">
        <f t="shared" si="5"/>
        <v>✓</v>
      </c>
      <c r="T31" s="29">
        <f t="shared" si="6"/>
        <v>0</v>
      </c>
      <c r="U31" s="29" t="str">
        <f t="shared" si="7"/>
        <v>OK</v>
      </c>
    </row>
    <row r="32" spans="1:21" x14ac:dyDescent="0.2">
      <c r="A32">
        <f>Jess!A32</f>
        <v>6297</v>
      </c>
      <c r="B32" t="str">
        <f>Jess!B32</f>
        <v>Oppose</v>
      </c>
      <c r="C32" t="str">
        <f>IFERROR(_xlfn.XLOOKUP(A32,'Hand Coded'!A:A,'Hand Coded'!B:B),"NOT FOUND")</f>
        <v>Oppose</v>
      </c>
      <c r="D32" s="29" t="str">
        <f t="shared" si="0"/>
        <v>✓</v>
      </c>
      <c r="E32" t="str">
        <f>Jess!C32</f>
        <v>grid_reliability</v>
      </c>
      <c r="F32" t="str">
        <f>IFERROR(_xlfn.XLOOKUP(A32,'Hand Coded'!A:A,'Hand Coded'!C:C),"NOT FOUND")</f>
        <v>grid_reliability</v>
      </c>
      <c r="G32" s="29" t="str">
        <f t="shared" si="1"/>
        <v>✓</v>
      </c>
      <c r="H32" t="str">
        <f>Jess!D32</f>
        <v>other</v>
      </c>
      <c r="I32" t="str">
        <f>IFERROR(_xlfn.XLOOKUP(A32,'Hand Coded'!A:A,'Hand Coded'!D:D),"NOT FOUND")</f>
        <v>other</v>
      </c>
      <c r="J32" s="29" t="str">
        <f t="shared" si="2"/>
        <v>✓</v>
      </c>
      <c r="K32" t="str">
        <f>Jess!E32</f>
        <v>government</v>
      </c>
      <c r="L32" t="str">
        <f>IFERROR(_xlfn.XLOOKUP(A32,'Hand Coded'!A:A,'Hand Coded'!E:E),"NOT FOUND")</f>
        <v>government</v>
      </c>
      <c r="M32" s="29" t="str">
        <f t="shared" si="3"/>
        <v>✓</v>
      </c>
      <c r="N32" t="str">
        <f>Jess!F32</f>
        <v>IL</v>
      </c>
      <c r="O32" t="str">
        <f>IFERROR(_xlfn.XLOOKUP(A32,'Hand Coded'!A:A,'Hand Coded'!F:F),"NOT FOUND")</f>
        <v>IL</v>
      </c>
      <c r="P32" s="29" t="str">
        <f t="shared" si="4"/>
        <v>✓</v>
      </c>
      <c r="Q32" t="str">
        <f>Jess!G32</f>
        <v>Midwest</v>
      </c>
      <c r="R32" t="str">
        <f>IFERROR(_xlfn.XLOOKUP(A32,'Hand Coded'!A:A,'Hand Coded'!G:G),"NOT FOUND")</f>
        <v>Midwest</v>
      </c>
      <c r="S32" s="29" t="str">
        <f t="shared" si="5"/>
        <v>✓</v>
      </c>
      <c r="T32" s="29">
        <f t="shared" si="6"/>
        <v>0</v>
      </c>
      <c r="U32" s="29" t="str">
        <f t="shared" si="7"/>
        <v>OK</v>
      </c>
    </row>
    <row r="33" spans="1:21" x14ac:dyDescent="0.2">
      <c r="A33">
        <f>Jess!A33</f>
        <v>6382</v>
      </c>
      <c r="B33" t="str">
        <f>Jess!B33</f>
        <v>Oppose</v>
      </c>
      <c r="C33" t="str">
        <f>IFERROR(_xlfn.XLOOKUP(A33,'Hand Coded'!A:A,'Hand Coded'!B:B),"NOT FOUND")</f>
        <v>Oppose</v>
      </c>
      <c r="D33" s="29" t="str">
        <f t="shared" si="0"/>
        <v>✓</v>
      </c>
      <c r="E33" t="str">
        <f>Jess!C33</f>
        <v>water_impacts</v>
      </c>
      <c r="F33" t="str">
        <f>IFERROR(_xlfn.XLOOKUP(A33,'Hand Coded'!A:A,'Hand Coded'!C:C),"NOT FOUND")</f>
        <v>water_impacts</v>
      </c>
      <c r="G33" s="29" t="str">
        <f t="shared" si="1"/>
        <v>✓</v>
      </c>
      <c r="H33" t="str">
        <f>Jess!D33</f>
        <v>natural_gas_pipeline</v>
      </c>
      <c r="I33" t="str">
        <f>IFERROR(_xlfn.XLOOKUP(A33,'Hand Coded'!A:A,'Hand Coded'!D:D),"NOT FOUND")</f>
        <v>natural_gas_pipeline</v>
      </c>
      <c r="J33" s="29" t="str">
        <f t="shared" si="2"/>
        <v>✓</v>
      </c>
      <c r="K33" t="str">
        <f>Jess!E33</f>
        <v>resident</v>
      </c>
      <c r="L33" t="str">
        <f>IFERROR(_xlfn.XLOOKUP(A33,'Hand Coded'!A:A,'Hand Coded'!E:E),"NOT FOUND")</f>
        <v>resident</v>
      </c>
      <c r="M33" s="29" t="str">
        <f t="shared" si="3"/>
        <v>✓</v>
      </c>
      <c r="N33" t="str">
        <f>Jess!F33</f>
        <v>KY</v>
      </c>
      <c r="O33" t="str">
        <f>IFERROR(_xlfn.XLOOKUP(A33,'Hand Coded'!A:A,'Hand Coded'!F:F),"NOT FOUND")</f>
        <v>KY</v>
      </c>
      <c r="P33" s="29" t="str">
        <f t="shared" si="4"/>
        <v>✓</v>
      </c>
      <c r="Q33" t="str">
        <f>Jess!G33</f>
        <v>East</v>
      </c>
      <c r="R33" t="str">
        <f>IFERROR(_xlfn.XLOOKUP(A33,'Hand Coded'!A:A,'Hand Coded'!G:G),"NOT FOUND")</f>
        <v>East</v>
      </c>
      <c r="S33" s="29" t="str">
        <f t="shared" si="5"/>
        <v>✓</v>
      </c>
      <c r="T33" s="29">
        <f t="shared" si="6"/>
        <v>0</v>
      </c>
      <c r="U33" s="29" t="str">
        <f t="shared" si="7"/>
        <v>OK</v>
      </c>
    </row>
    <row r="34" spans="1:21" x14ac:dyDescent="0.2">
      <c r="A34">
        <f>Jess!A34</f>
        <v>6408</v>
      </c>
      <c r="B34" t="str">
        <f>Jess!B34</f>
        <v>Oppose</v>
      </c>
      <c r="C34" t="str">
        <f>IFERROR(_xlfn.XLOOKUP(A34,'Hand Coded'!A:A,'Hand Coded'!B:B),"NOT FOUND")</f>
        <v>Oppose</v>
      </c>
      <c r="D34" s="29" t="str">
        <f t="shared" si="0"/>
        <v>✓</v>
      </c>
      <c r="E34" t="str">
        <f>Jess!C34</f>
        <v>wildlife_ecosystem</v>
      </c>
      <c r="F34" t="str">
        <f>IFERROR(_xlfn.XLOOKUP(A34,'Hand Coded'!A:A,'Hand Coded'!C:C),"NOT FOUND")</f>
        <v>wildlife_ecosystem</v>
      </c>
      <c r="G34" s="29" t="str">
        <f t="shared" si="1"/>
        <v>✓</v>
      </c>
      <c r="H34" t="str">
        <f>Jess!D34</f>
        <v>natural_gas_pipeline</v>
      </c>
      <c r="I34" t="str">
        <f>IFERROR(_xlfn.XLOOKUP(A34,'Hand Coded'!A:A,'Hand Coded'!D:D),"NOT FOUND")</f>
        <v>natural_gas_pipeline</v>
      </c>
      <c r="J34" s="29" t="str">
        <f t="shared" si="2"/>
        <v>✓</v>
      </c>
      <c r="K34" t="str">
        <f>Jess!E34</f>
        <v>resident</v>
      </c>
      <c r="L34" t="str">
        <f>IFERROR(_xlfn.XLOOKUP(A34,'Hand Coded'!A:A,'Hand Coded'!E:E),"NOT FOUND")</f>
        <v>resident</v>
      </c>
      <c r="M34" s="29" t="str">
        <f t="shared" si="3"/>
        <v>✓</v>
      </c>
      <c r="N34" t="str">
        <f>Jess!F34</f>
        <v>GA</v>
      </c>
      <c r="O34" t="str">
        <f>IFERROR(_xlfn.XLOOKUP(A34,'Hand Coded'!A:A,'Hand Coded'!F:F),"NOT FOUND")</f>
        <v>GA</v>
      </c>
      <c r="P34" s="29" t="str">
        <f t="shared" si="4"/>
        <v>✓</v>
      </c>
      <c r="Q34" t="str">
        <f>Jess!G34</f>
        <v>Southeast</v>
      </c>
      <c r="R34" t="str">
        <f>IFERROR(_xlfn.XLOOKUP(A34,'Hand Coded'!A:A,'Hand Coded'!G:G),"NOT FOUND")</f>
        <v>Southeast</v>
      </c>
      <c r="S34" s="29" t="str">
        <f t="shared" si="5"/>
        <v>✓</v>
      </c>
      <c r="T34" s="29">
        <f t="shared" si="6"/>
        <v>0</v>
      </c>
      <c r="U34" s="29" t="str">
        <f t="shared" si="7"/>
        <v>OK</v>
      </c>
    </row>
    <row r="35" spans="1:21" x14ac:dyDescent="0.2">
      <c r="A35">
        <f>Jess!A35</f>
        <v>6413</v>
      </c>
      <c r="B35" t="str">
        <f>Jess!B35</f>
        <v>Neutral</v>
      </c>
      <c r="C35" t="str">
        <f>IFERROR(_xlfn.XLOOKUP(A35,'Hand Coded'!A:A,'Hand Coded'!B:B),"NOT FOUND")</f>
        <v>Neutral</v>
      </c>
      <c r="D35" s="29" t="str">
        <f t="shared" si="0"/>
        <v>✓</v>
      </c>
      <c r="E35" t="str">
        <f>Jess!C35</f>
        <v>other</v>
      </c>
      <c r="F35" t="str">
        <f>IFERROR(_xlfn.XLOOKUP(A35,'Hand Coded'!A:A,'Hand Coded'!C:C),"NOT FOUND")</f>
        <v>other</v>
      </c>
      <c r="G35" s="29" t="str">
        <f t="shared" si="1"/>
        <v>✓</v>
      </c>
      <c r="H35" t="str">
        <f>Jess!D35</f>
        <v>natural_gas_pipeline</v>
      </c>
      <c r="I35" t="str">
        <f>IFERROR(_xlfn.XLOOKUP(A35,'Hand Coded'!A:A,'Hand Coded'!D:D),"NOT FOUND")</f>
        <v>natural_gas_pipeline</v>
      </c>
      <c r="J35" s="29" t="str">
        <f t="shared" si="2"/>
        <v>✓</v>
      </c>
      <c r="K35" t="str">
        <f>Jess!E35</f>
        <v>government</v>
      </c>
      <c r="L35" t="str">
        <f>IFERROR(_xlfn.XLOOKUP(A35,'Hand Coded'!A:A,'Hand Coded'!E:E),"NOT FOUND")</f>
        <v>government</v>
      </c>
      <c r="M35" s="29" t="str">
        <f t="shared" si="3"/>
        <v>✓</v>
      </c>
      <c r="N35" t="str">
        <f>Jess!F35</f>
        <v>TN</v>
      </c>
      <c r="O35" t="str">
        <f>IFERROR(_xlfn.XLOOKUP(A35,'Hand Coded'!A:A,'Hand Coded'!F:F),"NOT FOUND")</f>
        <v>TN</v>
      </c>
      <c r="P35" s="29" t="str">
        <f t="shared" si="4"/>
        <v>✓</v>
      </c>
      <c r="Q35" t="str">
        <f>Jess!G35</f>
        <v>Southeast</v>
      </c>
      <c r="R35" t="str">
        <f>IFERROR(_xlfn.XLOOKUP(A35,'Hand Coded'!A:A,'Hand Coded'!G:G),"NOT FOUND")</f>
        <v>Southeast</v>
      </c>
      <c r="S35" s="29" t="str">
        <f t="shared" si="5"/>
        <v>✓</v>
      </c>
      <c r="T35" s="29">
        <f t="shared" si="6"/>
        <v>0</v>
      </c>
      <c r="U35" s="29" t="str">
        <f t="shared" si="7"/>
        <v>OK</v>
      </c>
    </row>
    <row r="36" spans="1:21" x14ac:dyDescent="0.2">
      <c r="A36">
        <f>Jess!A36</f>
        <v>6468</v>
      </c>
      <c r="B36" t="str">
        <f>Jess!B36</f>
        <v>Neutral</v>
      </c>
      <c r="C36" t="str">
        <f>IFERROR(_xlfn.XLOOKUP(A36,'Hand Coded'!A:A,'Hand Coded'!B:B),"NOT FOUND")</f>
        <v>Neutral</v>
      </c>
      <c r="D36" s="29" t="str">
        <f t="shared" si="0"/>
        <v>✓</v>
      </c>
      <c r="E36" t="str">
        <f>Jess!C36</f>
        <v>property_rights</v>
      </c>
      <c r="F36" t="str">
        <f>IFERROR(_xlfn.XLOOKUP(A36,'Hand Coded'!A:A,'Hand Coded'!C:C),"NOT FOUND")</f>
        <v>property_rights</v>
      </c>
      <c r="G36" s="29" t="str">
        <f t="shared" si="1"/>
        <v>✓</v>
      </c>
      <c r="H36" t="str">
        <f>Jess!D36</f>
        <v>natural_gas_pipeline</v>
      </c>
      <c r="I36" t="str">
        <f>IFERROR(_xlfn.XLOOKUP(A36,'Hand Coded'!A:A,'Hand Coded'!D:D),"NOT FOUND")</f>
        <v>natural_gas_pipeline</v>
      </c>
      <c r="J36" s="29" t="str">
        <f t="shared" si="2"/>
        <v>✓</v>
      </c>
      <c r="K36" t="str">
        <f>Jess!E36</f>
        <v>resident</v>
      </c>
      <c r="L36" t="str">
        <f>IFERROR(_xlfn.XLOOKUP(A36,'Hand Coded'!A:A,'Hand Coded'!E:E),"NOT FOUND")</f>
        <v>resident</v>
      </c>
      <c r="M36" s="29" t="str">
        <f t="shared" si="3"/>
        <v>✓</v>
      </c>
      <c r="N36" t="str">
        <f>Jess!F36</f>
        <v>NY</v>
      </c>
      <c r="O36" t="str">
        <f>IFERROR(_xlfn.XLOOKUP(A36,'Hand Coded'!A:A,'Hand Coded'!F:F),"NOT FOUND")</f>
        <v>NY</v>
      </c>
      <c r="P36" s="29" t="str">
        <f t="shared" si="4"/>
        <v>✓</v>
      </c>
      <c r="Q36" t="str">
        <f>Jess!G36</f>
        <v>Northeast</v>
      </c>
      <c r="R36" t="str">
        <f>IFERROR(_xlfn.XLOOKUP(A36,'Hand Coded'!A:A,'Hand Coded'!G:G),"NOT FOUND")</f>
        <v>Northeast</v>
      </c>
      <c r="S36" s="29" t="str">
        <f t="shared" si="5"/>
        <v>✓</v>
      </c>
      <c r="T36" s="29">
        <f t="shared" si="6"/>
        <v>0</v>
      </c>
      <c r="U36" s="29" t="str">
        <f t="shared" si="7"/>
        <v>OK</v>
      </c>
    </row>
    <row r="37" spans="1:21" x14ac:dyDescent="0.2">
      <c r="A37">
        <f>Jess!A37</f>
        <v>6522</v>
      </c>
      <c r="B37" t="str">
        <f>Jess!B37</f>
        <v>Neutral</v>
      </c>
      <c r="C37" t="str">
        <f>IFERROR(_xlfn.XLOOKUP(A37,'Hand Coded'!A:A,'Hand Coded'!B:B),"NOT FOUND")</f>
        <v>Neutral</v>
      </c>
      <c r="D37" s="29" t="str">
        <f t="shared" si="0"/>
        <v>✓</v>
      </c>
      <c r="E37" t="str">
        <f>Jess!C37</f>
        <v>property_rights</v>
      </c>
      <c r="F37" t="str">
        <f>IFERROR(_xlfn.XLOOKUP(A37,'Hand Coded'!A:A,'Hand Coded'!C:C),"NOT FOUND")</f>
        <v>property_rights</v>
      </c>
      <c r="G37" s="29" t="str">
        <f t="shared" si="1"/>
        <v>✓</v>
      </c>
      <c r="H37" t="str">
        <f>Jess!D37</f>
        <v>natural_gas_pipeline</v>
      </c>
      <c r="I37" t="str">
        <f>IFERROR(_xlfn.XLOOKUP(A37,'Hand Coded'!A:A,'Hand Coded'!D:D),"NOT FOUND")</f>
        <v>natural_gas_pipeline</v>
      </c>
      <c r="J37" s="29" t="str">
        <f t="shared" si="2"/>
        <v>✓</v>
      </c>
      <c r="K37" t="str">
        <f>Jess!E37</f>
        <v>resident</v>
      </c>
      <c r="L37" t="str">
        <f>IFERROR(_xlfn.XLOOKUP(A37,'Hand Coded'!A:A,'Hand Coded'!E:E),"NOT FOUND")</f>
        <v>resident</v>
      </c>
      <c r="M37" s="29" t="str">
        <f t="shared" si="3"/>
        <v>✓</v>
      </c>
      <c r="N37" t="str">
        <f>Jess!F37</f>
        <v>NY</v>
      </c>
      <c r="O37" t="str">
        <f>IFERROR(_xlfn.XLOOKUP(A37,'Hand Coded'!A:A,'Hand Coded'!F:F),"NOT FOUND")</f>
        <v>NY</v>
      </c>
      <c r="P37" s="29" t="str">
        <f t="shared" si="4"/>
        <v>✓</v>
      </c>
      <c r="Q37" t="str">
        <f>Jess!G37</f>
        <v>Northeast</v>
      </c>
      <c r="R37" t="str">
        <f>IFERROR(_xlfn.XLOOKUP(A37,'Hand Coded'!A:A,'Hand Coded'!G:G),"NOT FOUND")</f>
        <v>Northeast</v>
      </c>
      <c r="S37" s="29" t="str">
        <f t="shared" si="5"/>
        <v>✓</v>
      </c>
      <c r="T37" s="29">
        <f t="shared" si="6"/>
        <v>0</v>
      </c>
      <c r="U37" s="29" t="str">
        <f t="shared" si="7"/>
        <v>OK</v>
      </c>
    </row>
    <row r="38" spans="1:21" x14ac:dyDescent="0.2">
      <c r="A38">
        <f>Jess!A38</f>
        <v>6550</v>
      </c>
      <c r="B38" t="str">
        <f>Jess!B38</f>
        <v>Neutral</v>
      </c>
      <c r="C38" t="str">
        <f>IFERROR(_xlfn.XLOOKUP(A38,'Hand Coded'!A:A,'Hand Coded'!B:B),"NOT FOUND")</f>
        <v>Oppose</v>
      </c>
      <c r="D38" s="29" t="str">
        <f t="shared" si="0"/>
        <v>✗</v>
      </c>
      <c r="E38" t="str">
        <f>Jess!C38</f>
        <v>property_rights</v>
      </c>
      <c r="F38" t="str">
        <f>IFERROR(_xlfn.XLOOKUP(A38,'Hand Coded'!A:A,'Hand Coded'!C:C),"NOT FOUND")</f>
        <v>property_rights</v>
      </c>
      <c r="G38" s="29" t="str">
        <f t="shared" si="1"/>
        <v>✓</v>
      </c>
      <c r="H38" t="str">
        <f>Jess!D38</f>
        <v>natural_gas_pipeline</v>
      </c>
      <c r="I38" t="str">
        <f>IFERROR(_xlfn.XLOOKUP(A38,'Hand Coded'!A:A,'Hand Coded'!D:D),"NOT FOUND")</f>
        <v>natural_gas_pipeline</v>
      </c>
      <c r="J38" s="29" t="str">
        <f t="shared" si="2"/>
        <v>✓</v>
      </c>
      <c r="K38" t="str">
        <f>Jess!E38</f>
        <v>resident</v>
      </c>
      <c r="L38" t="str">
        <f>IFERROR(_xlfn.XLOOKUP(A38,'Hand Coded'!A:A,'Hand Coded'!E:E),"NOT FOUND")</f>
        <v>resident</v>
      </c>
      <c r="M38" s="29" t="str">
        <f t="shared" si="3"/>
        <v>✓</v>
      </c>
      <c r="N38" t="str">
        <f>Jess!F38</f>
        <v>NY</v>
      </c>
      <c r="O38" t="str">
        <f>IFERROR(_xlfn.XLOOKUP(A38,'Hand Coded'!A:A,'Hand Coded'!F:F),"NOT FOUND")</f>
        <v>NY</v>
      </c>
      <c r="P38" s="29" t="str">
        <f t="shared" si="4"/>
        <v>✓</v>
      </c>
      <c r="Q38" t="str">
        <f>Jess!G38</f>
        <v>Northeast</v>
      </c>
      <c r="R38" t="str">
        <f>IFERROR(_xlfn.XLOOKUP(A38,'Hand Coded'!A:A,'Hand Coded'!G:G),"NOT FOUND")</f>
        <v>Northeast</v>
      </c>
      <c r="S38" s="29" t="str">
        <f t="shared" si="5"/>
        <v>✓</v>
      </c>
      <c r="T38" s="29">
        <f t="shared" si="6"/>
        <v>1</v>
      </c>
      <c r="U38" s="29" t="str">
        <f t="shared" si="7"/>
        <v>⚠ REVIEW</v>
      </c>
    </row>
    <row r="39" spans="1:21" x14ac:dyDescent="0.2">
      <c r="A39">
        <f>Jess!A39</f>
        <v>6552</v>
      </c>
      <c r="B39" t="str">
        <f>Jess!B39</f>
        <v>Neutral</v>
      </c>
      <c r="C39" t="str">
        <f>IFERROR(_xlfn.XLOOKUP(A39,'Hand Coded'!A:A,'Hand Coded'!B:B),"NOT FOUND")</f>
        <v>Neutral</v>
      </c>
      <c r="D39" s="29" t="str">
        <f t="shared" si="0"/>
        <v>✓</v>
      </c>
      <c r="E39" t="str">
        <f>Jess!C39</f>
        <v>grid_reliability</v>
      </c>
      <c r="F39" t="str">
        <f>IFERROR(_xlfn.XLOOKUP(A39,'Hand Coded'!A:A,'Hand Coded'!C:C),"NOT FOUND")</f>
        <v>grid_reliability</v>
      </c>
      <c r="G39" s="29" t="str">
        <f t="shared" si="1"/>
        <v>✓</v>
      </c>
      <c r="H39" t="str">
        <f>Jess!D39</f>
        <v>natural_gas_pipeline</v>
      </c>
      <c r="I39" t="str">
        <f>IFERROR(_xlfn.XLOOKUP(A39,'Hand Coded'!A:A,'Hand Coded'!D:D),"NOT FOUND")</f>
        <v>natural_gas_pipeline</v>
      </c>
      <c r="J39" s="29" t="str">
        <f t="shared" si="2"/>
        <v>✓</v>
      </c>
      <c r="K39" t="str">
        <f>Jess!E39</f>
        <v>organization</v>
      </c>
      <c r="L39" t="str">
        <f>IFERROR(_xlfn.XLOOKUP(A39,'Hand Coded'!A:A,'Hand Coded'!E:E),"NOT FOUND")</f>
        <v>organization</v>
      </c>
      <c r="M39" s="29" t="str">
        <f t="shared" si="3"/>
        <v>✓</v>
      </c>
      <c r="N39">
        <f>Jess!F39</f>
        <v>0</v>
      </c>
      <c r="O39">
        <f>IFERROR(_xlfn.XLOOKUP(A39,'Hand Coded'!A:A,'Hand Coded'!F:F),"NOT FOUND")</f>
        <v>0</v>
      </c>
      <c r="P39" s="29" t="str">
        <f t="shared" si="4"/>
        <v>✓</v>
      </c>
      <c r="Q39">
        <f>Jess!G39</f>
        <v>0</v>
      </c>
      <c r="R39">
        <f>IFERROR(_xlfn.XLOOKUP(A39,'Hand Coded'!A:A,'Hand Coded'!G:G),"NOT FOUND")</f>
        <v>0</v>
      </c>
      <c r="S39" s="29" t="str">
        <f t="shared" si="5"/>
        <v>✓</v>
      </c>
      <c r="T39" s="29">
        <f t="shared" si="6"/>
        <v>0</v>
      </c>
      <c r="U39" s="29" t="str">
        <f t="shared" si="7"/>
        <v>OK</v>
      </c>
    </row>
    <row r="40" spans="1:21" x14ac:dyDescent="0.2">
      <c r="A40">
        <f>Jess!A40</f>
        <v>6563</v>
      </c>
      <c r="B40" t="str">
        <f>Jess!B40</f>
        <v>Support</v>
      </c>
      <c r="C40" t="str">
        <f>IFERROR(_xlfn.XLOOKUP(A40,'Hand Coded'!A:A,'Hand Coded'!B:B),"NOT FOUND")</f>
        <v>Support</v>
      </c>
      <c r="D40" s="29" t="str">
        <f t="shared" si="0"/>
        <v>✓</v>
      </c>
      <c r="E40" t="str">
        <f>Jess!C40</f>
        <v>public_process</v>
      </c>
      <c r="F40" t="str">
        <f>IFERROR(_xlfn.XLOOKUP(A40,'Hand Coded'!A:A,'Hand Coded'!C:C),"NOT FOUND")</f>
        <v>public_process</v>
      </c>
      <c r="G40" s="29" t="str">
        <f t="shared" si="1"/>
        <v>✓</v>
      </c>
      <c r="H40" t="str">
        <f>Jess!D40</f>
        <v>natural_gas_pipeline</v>
      </c>
      <c r="I40" t="str">
        <f>IFERROR(_xlfn.XLOOKUP(A40,'Hand Coded'!A:A,'Hand Coded'!D:D),"NOT FOUND")</f>
        <v>natural_gas_pipeline</v>
      </c>
      <c r="J40" s="29" t="str">
        <f t="shared" si="2"/>
        <v>✓</v>
      </c>
      <c r="K40" t="str">
        <f>Jess!E40</f>
        <v>business</v>
      </c>
      <c r="L40" t="str">
        <f>IFERROR(_xlfn.XLOOKUP(A40,'Hand Coded'!A:A,'Hand Coded'!E:E),"NOT FOUND")</f>
        <v>business</v>
      </c>
      <c r="M40" s="29" t="str">
        <f t="shared" si="3"/>
        <v>✓</v>
      </c>
      <c r="N40" t="str">
        <f>Jess!F40</f>
        <v>multiple states</v>
      </c>
      <c r="O40" t="str">
        <f>IFERROR(_xlfn.XLOOKUP(A40,'Hand Coded'!A:A,'Hand Coded'!F:F),"NOT FOUND")</f>
        <v>multiple states</v>
      </c>
      <c r="P40" s="29" t="str">
        <f t="shared" si="4"/>
        <v>✓</v>
      </c>
      <c r="Q40">
        <f>Jess!G40</f>
        <v>0</v>
      </c>
      <c r="R40">
        <f>IFERROR(_xlfn.XLOOKUP(A40,'Hand Coded'!A:A,'Hand Coded'!G:G),"NOT FOUND")</f>
        <v>0</v>
      </c>
      <c r="S40" s="29" t="str">
        <f t="shared" si="5"/>
        <v>✓</v>
      </c>
      <c r="T40" s="29">
        <f t="shared" si="6"/>
        <v>0</v>
      </c>
      <c r="U40" s="29" t="str">
        <f t="shared" si="7"/>
        <v>OK</v>
      </c>
    </row>
    <row r="41" spans="1:21" x14ac:dyDescent="0.2">
      <c r="A41">
        <f>Jess!A41</f>
        <v>6588</v>
      </c>
      <c r="B41" t="str">
        <f>Jess!B41</f>
        <v>Neutral</v>
      </c>
      <c r="C41" t="str">
        <f>IFERROR(_xlfn.XLOOKUP(A41,'Hand Coded'!A:A,'Hand Coded'!B:B),"NOT FOUND")</f>
        <v>Neutral</v>
      </c>
      <c r="D41" s="29" t="str">
        <f t="shared" si="0"/>
        <v>✓</v>
      </c>
      <c r="E41" t="str">
        <f>Jess!C41</f>
        <v>property_rights</v>
      </c>
      <c r="F41" t="str">
        <f>IFERROR(_xlfn.XLOOKUP(A41,'Hand Coded'!A:A,'Hand Coded'!C:C),"NOT FOUND")</f>
        <v>property_rights</v>
      </c>
      <c r="G41" s="29" t="str">
        <f t="shared" si="1"/>
        <v>✓</v>
      </c>
      <c r="H41" t="str">
        <f>Jess!D41</f>
        <v>natural_gas_pipeline</v>
      </c>
      <c r="I41" t="str">
        <f>IFERROR(_xlfn.XLOOKUP(A41,'Hand Coded'!A:A,'Hand Coded'!D:D),"NOT FOUND")</f>
        <v>natural_gas_pipeline</v>
      </c>
      <c r="J41" s="29" t="str">
        <f t="shared" si="2"/>
        <v>✓</v>
      </c>
      <c r="K41" t="str">
        <f>Jess!E41</f>
        <v>resident</v>
      </c>
      <c r="L41" t="str">
        <f>IFERROR(_xlfn.XLOOKUP(A41,'Hand Coded'!A:A,'Hand Coded'!E:E),"NOT FOUND")</f>
        <v>resident</v>
      </c>
      <c r="M41" s="29" t="str">
        <f t="shared" si="3"/>
        <v>✓</v>
      </c>
      <c r="N41" t="str">
        <f>Jess!F41</f>
        <v>NY</v>
      </c>
      <c r="O41" t="str">
        <f>IFERROR(_xlfn.XLOOKUP(A41,'Hand Coded'!A:A,'Hand Coded'!F:F),"NOT FOUND")</f>
        <v>NY</v>
      </c>
      <c r="P41" s="29" t="str">
        <f t="shared" si="4"/>
        <v>✓</v>
      </c>
      <c r="Q41" t="str">
        <f>Jess!G41</f>
        <v>Northeast</v>
      </c>
      <c r="R41" t="str">
        <f>IFERROR(_xlfn.XLOOKUP(A41,'Hand Coded'!A:A,'Hand Coded'!G:G),"NOT FOUND")</f>
        <v>Northeast</v>
      </c>
      <c r="S41" s="29" t="str">
        <f t="shared" si="5"/>
        <v>✓</v>
      </c>
      <c r="T41" s="29">
        <f t="shared" si="6"/>
        <v>0</v>
      </c>
      <c r="U41" s="29" t="str">
        <f t="shared" si="7"/>
        <v>OK</v>
      </c>
    </row>
    <row r="42" spans="1:21" x14ac:dyDescent="0.2">
      <c r="A42">
        <f>Jess!A42</f>
        <v>6601</v>
      </c>
      <c r="B42" t="str">
        <f>Jess!B42</f>
        <v>Neutral</v>
      </c>
      <c r="C42" t="str">
        <f>IFERROR(_xlfn.XLOOKUP(A42,'Hand Coded'!A:A,'Hand Coded'!B:B),"NOT FOUND")</f>
        <v>Neutral</v>
      </c>
      <c r="D42" s="29" t="str">
        <f t="shared" si="0"/>
        <v>✓</v>
      </c>
      <c r="E42" t="str">
        <f>Jess!C42</f>
        <v>grid_reliability</v>
      </c>
      <c r="F42" t="str">
        <f>IFERROR(_xlfn.XLOOKUP(A42,'Hand Coded'!A:A,'Hand Coded'!C:C),"NOT FOUND")</f>
        <v>grid_reliability</v>
      </c>
      <c r="G42" s="29" t="str">
        <f t="shared" si="1"/>
        <v>✓</v>
      </c>
      <c r="H42" t="str">
        <f>Jess!D42</f>
        <v>electric_transmission</v>
      </c>
      <c r="I42" t="str">
        <f>IFERROR(_xlfn.XLOOKUP(A42,'Hand Coded'!A:A,'Hand Coded'!D:D),"NOT FOUND")</f>
        <v>electric_transmission</v>
      </c>
      <c r="J42" s="29" t="str">
        <f t="shared" si="2"/>
        <v>✓</v>
      </c>
      <c r="K42" t="str">
        <f>Jess!E42</f>
        <v>organization</v>
      </c>
      <c r="L42" t="str">
        <f>IFERROR(_xlfn.XLOOKUP(A42,'Hand Coded'!A:A,'Hand Coded'!E:E),"NOT FOUND")</f>
        <v>organization</v>
      </c>
      <c r="M42" s="29" t="str">
        <f t="shared" si="3"/>
        <v>✓</v>
      </c>
      <c r="N42" t="str">
        <f>Jess!F42</f>
        <v>multiple states</v>
      </c>
      <c r="O42" t="str">
        <f>IFERROR(_xlfn.XLOOKUP(A42,'Hand Coded'!A:A,'Hand Coded'!F:F),"NOT FOUND")</f>
        <v>multiple states</v>
      </c>
      <c r="P42" s="29" t="str">
        <f t="shared" si="4"/>
        <v>✓</v>
      </c>
      <c r="Q42">
        <f>Jess!G42</f>
        <v>0</v>
      </c>
      <c r="R42">
        <f>IFERROR(_xlfn.XLOOKUP(A42,'Hand Coded'!A:A,'Hand Coded'!G:G),"NOT FOUND")</f>
        <v>0</v>
      </c>
      <c r="S42" s="29" t="str">
        <f t="shared" si="5"/>
        <v>✓</v>
      </c>
      <c r="T42" s="29">
        <f t="shared" si="6"/>
        <v>0</v>
      </c>
      <c r="U42" s="29" t="str">
        <f t="shared" si="7"/>
        <v>OK</v>
      </c>
    </row>
    <row r="43" spans="1:21" x14ac:dyDescent="0.2">
      <c r="A43">
        <f>Jess!A43</f>
        <v>6619</v>
      </c>
      <c r="B43" t="str">
        <f>Jess!B43</f>
        <v>Support</v>
      </c>
      <c r="C43" t="str">
        <f>IFERROR(_xlfn.XLOOKUP(A43,'Hand Coded'!A:A,'Hand Coded'!B:B),"NOT FOUND")</f>
        <v>Support</v>
      </c>
      <c r="D43" s="29" t="str">
        <f t="shared" si="0"/>
        <v>✓</v>
      </c>
      <c r="E43" t="str">
        <f>Jess!C43</f>
        <v>public_process</v>
      </c>
      <c r="F43" t="str">
        <f>IFERROR(_xlfn.XLOOKUP(A43,'Hand Coded'!A:A,'Hand Coded'!C:C),"NOT FOUND")</f>
        <v>public_process</v>
      </c>
      <c r="G43" s="29" t="str">
        <f t="shared" si="1"/>
        <v>✓</v>
      </c>
      <c r="H43" t="str">
        <f>Jess!D43</f>
        <v>natural_gas_pipeline</v>
      </c>
      <c r="I43" t="str">
        <f>IFERROR(_xlfn.XLOOKUP(A43,'Hand Coded'!A:A,'Hand Coded'!D:D),"NOT FOUND")</f>
        <v>natural_gas_pipeline</v>
      </c>
      <c r="J43" s="29" t="str">
        <f t="shared" si="2"/>
        <v>✓</v>
      </c>
      <c r="K43" t="str">
        <f>Jess!E43</f>
        <v>organziation</v>
      </c>
      <c r="L43" t="str">
        <f>IFERROR(_xlfn.XLOOKUP(A43,'Hand Coded'!A:A,'Hand Coded'!E:E),"NOT FOUND")</f>
        <v>organziation</v>
      </c>
      <c r="M43" s="29" t="str">
        <f t="shared" si="3"/>
        <v>✓</v>
      </c>
      <c r="N43" t="str">
        <f>Jess!F43</f>
        <v>multiple states</v>
      </c>
      <c r="O43" t="str">
        <f>IFERROR(_xlfn.XLOOKUP(A43,'Hand Coded'!A:A,'Hand Coded'!F:F),"NOT FOUND")</f>
        <v>multiple states</v>
      </c>
      <c r="P43" s="29" t="str">
        <f t="shared" si="4"/>
        <v>✓</v>
      </c>
      <c r="Q43">
        <f>Jess!G43</f>
        <v>0</v>
      </c>
      <c r="R43">
        <f>IFERROR(_xlfn.XLOOKUP(A43,'Hand Coded'!A:A,'Hand Coded'!G:G),"NOT FOUND")</f>
        <v>0</v>
      </c>
      <c r="S43" s="29" t="str">
        <f t="shared" si="5"/>
        <v>✓</v>
      </c>
      <c r="T43" s="29">
        <f t="shared" si="6"/>
        <v>0</v>
      </c>
      <c r="U43" s="29" t="str">
        <f t="shared" si="7"/>
        <v>OK</v>
      </c>
    </row>
    <row r="44" spans="1:21" x14ac:dyDescent="0.2">
      <c r="A44">
        <f>Jess!A44</f>
        <v>6629</v>
      </c>
      <c r="B44" t="str">
        <f>Jess!B44</f>
        <v>Support</v>
      </c>
      <c r="C44" t="str">
        <f>IFERROR(_xlfn.XLOOKUP(A44,'Hand Coded'!A:A,'Hand Coded'!B:B),"NOT FOUND")</f>
        <v>Support</v>
      </c>
      <c r="D44" s="29" t="str">
        <f t="shared" si="0"/>
        <v>✓</v>
      </c>
      <c r="E44" t="str">
        <f>Jess!C44</f>
        <v>public_process</v>
      </c>
      <c r="F44" t="str">
        <f>IFERROR(_xlfn.XLOOKUP(A44,'Hand Coded'!A:A,'Hand Coded'!C:C),"NOT FOUND")</f>
        <v>public_process</v>
      </c>
      <c r="G44" s="29" t="str">
        <f t="shared" si="1"/>
        <v>✓</v>
      </c>
      <c r="H44" t="str">
        <f>Jess!D44</f>
        <v>electric_transmission</v>
      </c>
      <c r="I44" t="str">
        <f>IFERROR(_xlfn.XLOOKUP(A44,'Hand Coded'!A:A,'Hand Coded'!D:D),"NOT FOUND")</f>
        <v>electric_transmission</v>
      </c>
      <c r="J44" s="29" t="str">
        <f t="shared" si="2"/>
        <v>✓</v>
      </c>
      <c r="K44" t="str">
        <f>Jess!E44</f>
        <v>organization</v>
      </c>
      <c r="L44" t="str">
        <f>IFERROR(_xlfn.XLOOKUP(A44,'Hand Coded'!A:A,'Hand Coded'!E:E),"NOT FOUND")</f>
        <v>organization</v>
      </c>
      <c r="M44" s="29" t="str">
        <f t="shared" si="3"/>
        <v>✓</v>
      </c>
      <c r="N44" t="str">
        <f>Jess!F44</f>
        <v>multiple states</v>
      </c>
      <c r="O44" t="str">
        <f>IFERROR(_xlfn.XLOOKUP(A44,'Hand Coded'!A:A,'Hand Coded'!F:F),"NOT FOUND")</f>
        <v>multiple states</v>
      </c>
      <c r="P44" s="29" t="str">
        <f t="shared" si="4"/>
        <v>✓</v>
      </c>
      <c r="Q44">
        <f>Jess!G44</f>
        <v>0</v>
      </c>
      <c r="R44">
        <f>IFERROR(_xlfn.XLOOKUP(A44,'Hand Coded'!A:A,'Hand Coded'!G:G),"NOT FOUND")</f>
        <v>0</v>
      </c>
      <c r="S44" s="29" t="str">
        <f t="shared" si="5"/>
        <v>✓</v>
      </c>
      <c r="T44" s="29">
        <f t="shared" si="6"/>
        <v>0</v>
      </c>
      <c r="U44" s="29" t="str">
        <f t="shared" si="7"/>
        <v>OK</v>
      </c>
    </row>
    <row r="45" spans="1:21" x14ac:dyDescent="0.2">
      <c r="A45">
        <f>Jess!A45</f>
        <v>6737</v>
      </c>
      <c r="B45" t="str">
        <f>Jess!B45</f>
        <v>Oppose</v>
      </c>
      <c r="C45" t="str">
        <f>IFERROR(_xlfn.XLOOKUP(A45,'Hand Coded'!A:A,'Hand Coded'!B:B),"NOT FOUND")</f>
        <v>Oppose</v>
      </c>
      <c r="D45" s="29" t="str">
        <f t="shared" si="0"/>
        <v>✓</v>
      </c>
      <c r="E45" t="str">
        <f>Jess!C45</f>
        <v>public_process</v>
      </c>
      <c r="F45" t="str">
        <f>IFERROR(_xlfn.XLOOKUP(A45,'Hand Coded'!A:A,'Hand Coded'!C:C),"NOT FOUND")</f>
        <v>public_process</v>
      </c>
      <c r="G45" s="29" t="str">
        <f t="shared" si="1"/>
        <v>✓</v>
      </c>
      <c r="H45" t="str">
        <f>Jess!D45</f>
        <v>natural_gas_pipeline</v>
      </c>
      <c r="I45" t="str">
        <f>IFERROR(_xlfn.XLOOKUP(A45,'Hand Coded'!A:A,'Hand Coded'!D:D),"NOT FOUND")</f>
        <v>natural_gas_pipeline</v>
      </c>
      <c r="J45" s="29" t="str">
        <f t="shared" si="2"/>
        <v>✓</v>
      </c>
      <c r="K45" t="str">
        <f>Jess!E45</f>
        <v>resident</v>
      </c>
      <c r="L45" t="str">
        <f>IFERROR(_xlfn.XLOOKUP(A45,'Hand Coded'!A:A,'Hand Coded'!E:E),"NOT FOUND")</f>
        <v>resident</v>
      </c>
      <c r="M45" s="29" t="str">
        <f t="shared" si="3"/>
        <v>✓</v>
      </c>
      <c r="N45" t="str">
        <f>Jess!F45</f>
        <v>NY</v>
      </c>
      <c r="O45" t="str">
        <f>IFERROR(_xlfn.XLOOKUP(A45,'Hand Coded'!A:A,'Hand Coded'!F:F),"NOT FOUND")</f>
        <v>NY</v>
      </c>
      <c r="P45" s="29" t="str">
        <f t="shared" si="4"/>
        <v>✓</v>
      </c>
      <c r="Q45" t="str">
        <f>Jess!G45</f>
        <v>Northeast</v>
      </c>
      <c r="R45" t="str">
        <f>IFERROR(_xlfn.XLOOKUP(A45,'Hand Coded'!A:A,'Hand Coded'!G:G),"NOT FOUND")</f>
        <v>Northeast</v>
      </c>
      <c r="S45" s="29" t="str">
        <f t="shared" si="5"/>
        <v>✓</v>
      </c>
      <c r="T45" s="29">
        <f t="shared" si="6"/>
        <v>0</v>
      </c>
      <c r="U45" s="29" t="str">
        <f t="shared" si="7"/>
        <v>OK</v>
      </c>
    </row>
    <row r="46" spans="1:21" x14ac:dyDescent="0.2">
      <c r="A46">
        <f>Jess!A46</f>
        <v>6929</v>
      </c>
      <c r="B46" t="str">
        <f>Jess!B46</f>
        <v>Oppose</v>
      </c>
      <c r="C46" t="str">
        <f>IFERROR(_xlfn.XLOOKUP(A46,'Hand Coded'!A:A,'Hand Coded'!B:B),"NOT FOUND")</f>
        <v>Oppose</v>
      </c>
      <c r="D46" s="29" t="str">
        <f t="shared" si="0"/>
        <v>✓</v>
      </c>
      <c r="E46" t="str">
        <f>Jess!C46</f>
        <v>hydropower</v>
      </c>
      <c r="F46" t="str">
        <f>IFERROR(_xlfn.XLOOKUP(A46,'Hand Coded'!A:A,'Hand Coded'!C:C),"NOT FOUND")</f>
        <v>hydropower</v>
      </c>
      <c r="G46" s="29" t="str">
        <f t="shared" si="1"/>
        <v>✓</v>
      </c>
      <c r="H46" t="str">
        <f>Jess!D46</f>
        <v>natural_gas_pipeline</v>
      </c>
      <c r="I46" t="str">
        <f>IFERROR(_xlfn.XLOOKUP(A46,'Hand Coded'!A:A,'Hand Coded'!D:D),"NOT FOUND")</f>
        <v>natural_gas_pipeline</v>
      </c>
      <c r="J46" s="29" t="str">
        <f t="shared" si="2"/>
        <v>✓</v>
      </c>
      <c r="K46" t="str">
        <f>Jess!E46</f>
        <v>government</v>
      </c>
      <c r="L46" t="str">
        <f>IFERROR(_xlfn.XLOOKUP(A46,'Hand Coded'!A:A,'Hand Coded'!E:E),"NOT FOUND")</f>
        <v>government</v>
      </c>
      <c r="M46" s="29" t="str">
        <f t="shared" si="3"/>
        <v>✓</v>
      </c>
      <c r="N46" t="str">
        <f>Jess!F46</f>
        <v>MI</v>
      </c>
      <c r="O46" t="str">
        <f>IFERROR(_xlfn.XLOOKUP(A46,'Hand Coded'!A:A,'Hand Coded'!F:F),"NOT FOUND")</f>
        <v>MI</v>
      </c>
      <c r="P46" s="29" t="str">
        <f t="shared" si="4"/>
        <v>✓</v>
      </c>
      <c r="Q46" t="str">
        <f>Jess!G46</f>
        <v>Midwest</v>
      </c>
      <c r="R46" t="str">
        <f>IFERROR(_xlfn.XLOOKUP(A46,'Hand Coded'!A:A,'Hand Coded'!G:G),"NOT FOUND")</f>
        <v>Midwest</v>
      </c>
      <c r="S46" s="29" t="str">
        <f t="shared" si="5"/>
        <v>✓</v>
      </c>
      <c r="T46" s="29">
        <f t="shared" si="6"/>
        <v>0</v>
      </c>
      <c r="U46" s="29" t="str">
        <f t="shared" si="7"/>
        <v>OK</v>
      </c>
    </row>
    <row r="47" spans="1:21" x14ac:dyDescent="0.2">
      <c r="A47">
        <f>Jess!A47</f>
        <v>6988</v>
      </c>
      <c r="B47" t="str">
        <f>Jess!B47</f>
        <v>Support</v>
      </c>
      <c r="C47" t="str">
        <f>IFERROR(_xlfn.XLOOKUP(A47,'Hand Coded'!A:A,'Hand Coded'!B:B),"NOT FOUND")</f>
        <v>Support</v>
      </c>
      <c r="D47" s="29" t="str">
        <f t="shared" si="0"/>
        <v>✓</v>
      </c>
      <c r="E47" t="str">
        <f>Jess!C47</f>
        <v>wildlife_ecosystem</v>
      </c>
      <c r="F47" t="str">
        <f>IFERROR(_xlfn.XLOOKUP(A47,'Hand Coded'!A:A,'Hand Coded'!C:C),"NOT FOUND")</f>
        <v>wildlife_ecosystem</v>
      </c>
      <c r="G47" s="29" t="str">
        <f t="shared" si="1"/>
        <v>✓</v>
      </c>
      <c r="H47" t="str">
        <f>Jess!D47</f>
        <v>hydropower</v>
      </c>
      <c r="I47" t="str">
        <f>IFERROR(_xlfn.XLOOKUP(A47,'Hand Coded'!A:A,'Hand Coded'!D:D),"NOT FOUND")</f>
        <v>hydropower</v>
      </c>
      <c r="J47" s="29" t="str">
        <f t="shared" si="2"/>
        <v>✓</v>
      </c>
      <c r="K47" t="str">
        <f>Jess!E47</f>
        <v>organization</v>
      </c>
      <c r="L47" t="str">
        <f>IFERROR(_xlfn.XLOOKUP(A47,'Hand Coded'!A:A,'Hand Coded'!E:E),"NOT FOUND")</f>
        <v>organization</v>
      </c>
      <c r="M47" s="29" t="str">
        <f t="shared" si="3"/>
        <v>✓</v>
      </c>
      <c r="N47" t="str">
        <f>Jess!F47</f>
        <v>VA</v>
      </c>
      <c r="O47" t="str">
        <f>IFERROR(_xlfn.XLOOKUP(A47,'Hand Coded'!A:A,'Hand Coded'!F:F),"NOT FOUND")</f>
        <v>VA</v>
      </c>
      <c r="P47" s="29" t="str">
        <f t="shared" si="4"/>
        <v>✓</v>
      </c>
      <c r="Q47" t="str">
        <f>Jess!G47</f>
        <v>Southeast</v>
      </c>
      <c r="R47" t="str">
        <f>IFERROR(_xlfn.XLOOKUP(A47,'Hand Coded'!A:A,'Hand Coded'!G:G),"NOT FOUND")</f>
        <v>Southeast</v>
      </c>
      <c r="S47" s="29" t="str">
        <f t="shared" si="5"/>
        <v>✓</v>
      </c>
      <c r="T47" s="29">
        <f t="shared" si="6"/>
        <v>0</v>
      </c>
      <c r="U47" s="29" t="str">
        <f t="shared" si="7"/>
        <v>OK</v>
      </c>
    </row>
    <row r="48" spans="1:21" x14ac:dyDescent="0.2">
      <c r="A48">
        <f>Jess!A48</f>
        <v>7256</v>
      </c>
      <c r="B48" t="str">
        <f>Jess!B48</f>
        <v>Support</v>
      </c>
      <c r="C48" t="str">
        <f>IFERROR(_xlfn.XLOOKUP(A48,'Hand Coded'!A:A,'Hand Coded'!B:B),"NOT FOUND")</f>
        <v>Support</v>
      </c>
      <c r="D48" s="29" t="str">
        <f t="shared" si="0"/>
        <v>✓</v>
      </c>
      <c r="E48" t="str">
        <f>Jess!C48</f>
        <v>wildlife_ecosystem</v>
      </c>
      <c r="F48" t="str">
        <f>IFERROR(_xlfn.XLOOKUP(A48,'Hand Coded'!A:A,'Hand Coded'!C:C),"NOT FOUND")</f>
        <v>wildlife_ecosystem</v>
      </c>
      <c r="G48" s="29" t="str">
        <f t="shared" si="1"/>
        <v>✓</v>
      </c>
      <c r="H48" t="str">
        <f>Jess!D48</f>
        <v>hydropower</v>
      </c>
      <c r="I48" t="str">
        <f>IFERROR(_xlfn.XLOOKUP(A48,'Hand Coded'!A:A,'Hand Coded'!D:D),"NOT FOUND")</f>
        <v>hydropower</v>
      </c>
      <c r="J48" s="29" t="str">
        <f t="shared" si="2"/>
        <v>✓</v>
      </c>
      <c r="K48" t="str">
        <f>Jess!E48</f>
        <v>organization</v>
      </c>
      <c r="L48" t="str">
        <f>IFERROR(_xlfn.XLOOKUP(A48,'Hand Coded'!A:A,'Hand Coded'!E:E),"NOT FOUND")</f>
        <v>organization</v>
      </c>
      <c r="M48" s="29" t="str">
        <f t="shared" si="3"/>
        <v>✓</v>
      </c>
      <c r="N48" t="str">
        <f>Jess!F48</f>
        <v>VA</v>
      </c>
      <c r="O48" t="str">
        <f>IFERROR(_xlfn.XLOOKUP(A48,'Hand Coded'!A:A,'Hand Coded'!F:F),"NOT FOUND")</f>
        <v>VA</v>
      </c>
      <c r="P48" s="29" t="str">
        <f t="shared" si="4"/>
        <v>✓</v>
      </c>
      <c r="Q48" t="str">
        <f>Jess!G48</f>
        <v>Southeast</v>
      </c>
      <c r="R48" t="str">
        <f>IFERROR(_xlfn.XLOOKUP(A48,'Hand Coded'!A:A,'Hand Coded'!G:G),"NOT FOUND")</f>
        <v>Southeast</v>
      </c>
      <c r="S48" s="29" t="str">
        <f t="shared" si="5"/>
        <v>✓</v>
      </c>
      <c r="T48" s="29">
        <f t="shared" si="6"/>
        <v>0</v>
      </c>
      <c r="U48" s="29" t="str">
        <f t="shared" si="7"/>
        <v>OK</v>
      </c>
    </row>
    <row r="49" spans="1:21" x14ac:dyDescent="0.2">
      <c r="A49">
        <f>Jess!A49</f>
        <v>7264</v>
      </c>
      <c r="B49" t="str">
        <f>Jess!B49</f>
        <v>Oppose</v>
      </c>
      <c r="C49" t="str">
        <f>IFERROR(_xlfn.XLOOKUP(A49,'Hand Coded'!A:A,'Hand Coded'!B:B),"NOT FOUND")</f>
        <v>Oppose</v>
      </c>
      <c r="D49" s="29" t="str">
        <f t="shared" si="0"/>
        <v>✓</v>
      </c>
      <c r="E49" t="str">
        <f>Jess!C49</f>
        <v>history</v>
      </c>
      <c r="F49" t="str">
        <f>IFERROR(_xlfn.XLOOKUP(A49,'Hand Coded'!A:A,'Hand Coded'!C:C),"NOT FOUND")</f>
        <v>history</v>
      </c>
      <c r="G49" s="29" t="str">
        <f t="shared" si="1"/>
        <v>✓</v>
      </c>
      <c r="H49" t="str">
        <f>Jess!D49</f>
        <v>natural_gas_pipeline</v>
      </c>
      <c r="I49" t="str">
        <f>IFERROR(_xlfn.XLOOKUP(A49,'Hand Coded'!A:A,'Hand Coded'!D:D),"NOT FOUND")</f>
        <v>natural_gas_pipeline</v>
      </c>
      <c r="J49" s="29" t="str">
        <f t="shared" si="2"/>
        <v>✓</v>
      </c>
      <c r="K49" t="str">
        <f>Jess!E49</f>
        <v>resident</v>
      </c>
      <c r="L49" t="str">
        <f>IFERROR(_xlfn.XLOOKUP(A49,'Hand Coded'!A:A,'Hand Coded'!E:E),"NOT FOUND")</f>
        <v>resident</v>
      </c>
      <c r="M49" s="29" t="str">
        <f t="shared" si="3"/>
        <v>✓</v>
      </c>
      <c r="N49" t="str">
        <f>Jess!F49</f>
        <v>KY</v>
      </c>
      <c r="O49" t="str">
        <f>IFERROR(_xlfn.XLOOKUP(A49,'Hand Coded'!A:A,'Hand Coded'!F:F),"NOT FOUND")</f>
        <v>KY</v>
      </c>
      <c r="P49" s="29" t="str">
        <f t="shared" si="4"/>
        <v>✓</v>
      </c>
      <c r="Q49" t="str">
        <f>Jess!G49</f>
        <v>Southeast</v>
      </c>
      <c r="R49" t="str">
        <f>IFERROR(_xlfn.XLOOKUP(A49,'Hand Coded'!A:A,'Hand Coded'!G:G),"NOT FOUND")</f>
        <v>Southeast</v>
      </c>
      <c r="S49" s="29" t="str">
        <f t="shared" si="5"/>
        <v>✓</v>
      </c>
      <c r="T49" s="29">
        <f t="shared" si="6"/>
        <v>0</v>
      </c>
      <c r="U49" s="29" t="str">
        <f t="shared" si="7"/>
        <v>OK</v>
      </c>
    </row>
    <row r="50" spans="1:21" x14ac:dyDescent="0.2">
      <c r="A50">
        <f>Jess!A50</f>
        <v>7289</v>
      </c>
      <c r="B50" t="str">
        <f>Jess!B50</f>
        <v>Oppose</v>
      </c>
      <c r="C50" t="str">
        <f>IFERROR(_xlfn.XLOOKUP(A50,'Hand Coded'!A:A,'Hand Coded'!B:B),"NOT FOUND")</f>
        <v>Oppose</v>
      </c>
      <c r="D50" s="29" t="str">
        <f t="shared" si="0"/>
        <v>✓</v>
      </c>
      <c r="E50" t="str">
        <f>Jess!C50</f>
        <v>wildlife_ecosystem</v>
      </c>
      <c r="F50" t="str">
        <f>IFERROR(_xlfn.XLOOKUP(A50,'Hand Coded'!A:A,'Hand Coded'!C:C),"NOT FOUND")</f>
        <v>wildlife_ecosystem</v>
      </c>
      <c r="G50" s="29" t="str">
        <f t="shared" si="1"/>
        <v>✓</v>
      </c>
      <c r="H50" t="str">
        <f>Jess!D50</f>
        <v>hydropower</v>
      </c>
      <c r="I50" t="str">
        <f>IFERROR(_xlfn.XLOOKUP(A50,'Hand Coded'!A:A,'Hand Coded'!D:D),"NOT FOUND")</f>
        <v>hydropower</v>
      </c>
      <c r="J50" s="29" t="str">
        <f t="shared" si="2"/>
        <v>✓</v>
      </c>
      <c r="K50" t="str">
        <f>Jess!E50</f>
        <v>government</v>
      </c>
      <c r="L50" t="str">
        <f>IFERROR(_xlfn.XLOOKUP(A50,'Hand Coded'!A:A,'Hand Coded'!E:E),"NOT FOUND")</f>
        <v>government</v>
      </c>
      <c r="M50" s="29" t="str">
        <f t="shared" si="3"/>
        <v>✓</v>
      </c>
      <c r="N50" t="str">
        <f>Jess!F50</f>
        <v>VA</v>
      </c>
      <c r="O50" t="str">
        <f>IFERROR(_xlfn.XLOOKUP(A50,'Hand Coded'!A:A,'Hand Coded'!F:F),"NOT FOUND")</f>
        <v>VA</v>
      </c>
      <c r="P50" s="29" t="str">
        <f t="shared" si="4"/>
        <v>✓</v>
      </c>
      <c r="Q50" t="str">
        <f>Jess!G50</f>
        <v>Southeast</v>
      </c>
      <c r="R50" t="str">
        <f>IFERROR(_xlfn.XLOOKUP(A50,'Hand Coded'!A:A,'Hand Coded'!G:G),"NOT FOUND")</f>
        <v>Southeast</v>
      </c>
      <c r="S50" s="29" t="str">
        <f t="shared" si="5"/>
        <v>✓</v>
      </c>
      <c r="T50" s="29">
        <f t="shared" si="6"/>
        <v>0</v>
      </c>
      <c r="U50" s="29" t="str">
        <f t="shared" si="7"/>
        <v>OK</v>
      </c>
    </row>
    <row r="51" spans="1:21" x14ac:dyDescent="0.2">
      <c r="A51">
        <f>Jess!A51</f>
        <v>7316</v>
      </c>
      <c r="B51" t="str">
        <f>Jess!B51</f>
        <v>Oppose</v>
      </c>
      <c r="C51" t="str">
        <f>IFERROR(_xlfn.XLOOKUP(A51,'Hand Coded'!A:A,'Hand Coded'!B:B),"NOT FOUND")</f>
        <v>Oppose</v>
      </c>
      <c r="D51" s="29" t="str">
        <f t="shared" si="0"/>
        <v>✓</v>
      </c>
      <c r="E51" t="str">
        <f>Jess!C51</f>
        <v>public_process</v>
      </c>
      <c r="F51" t="str">
        <f>IFERROR(_xlfn.XLOOKUP(A51,'Hand Coded'!A:A,'Hand Coded'!C:C),"NOT FOUND")</f>
        <v>public_process</v>
      </c>
      <c r="G51" s="29" t="str">
        <f t="shared" si="1"/>
        <v>✓</v>
      </c>
      <c r="H51" t="str">
        <f>Jess!D51</f>
        <v>natural_gas_pipeline</v>
      </c>
      <c r="I51" t="str">
        <f>IFERROR(_xlfn.XLOOKUP(A51,'Hand Coded'!A:A,'Hand Coded'!D:D),"NOT FOUND")</f>
        <v>natural_gas_pipeline</v>
      </c>
      <c r="J51" s="29" t="str">
        <f t="shared" si="2"/>
        <v>✓</v>
      </c>
      <c r="K51" t="str">
        <f>Jess!E51</f>
        <v>resident</v>
      </c>
      <c r="L51" t="str">
        <f>IFERROR(_xlfn.XLOOKUP(A51,'Hand Coded'!A:A,'Hand Coded'!E:E),"NOT FOUND")</f>
        <v>resident</v>
      </c>
      <c r="M51" s="29" t="str">
        <f t="shared" si="3"/>
        <v>✓</v>
      </c>
      <c r="N51" t="str">
        <f>Jess!F51</f>
        <v>NY</v>
      </c>
      <c r="O51" t="str">
        <f>IFERROR(_xlfn.XLOOKUP(A51,'Hand Coded'!A:A,'Hand Coded'!F:F),"NOT FOUND")</f>
        <v>NY</v>
      </c>
      <c r="P51" s="29" t="str">
        <f t="shared" si="4"/>
        <v>✓</v>
      </c>
      <c r="Q51" t="str">
        <f>Jess!G51</f>
        <v>Northeast</v>
      </c>
      <c r="R51" t="str">
        <f>IFERROR(_xlfn.XLOOKUP(A51,'Hand Coded'!A:A,'Hand Coded'!G:G),"NOT FOUND")</f>
        <v>Northeast</v>
      </c>
      <c r="S51" s="29" t="str">
        <f t="shared" si="5"/>
        <v>✓</v>
      </c>
      <c r="T51" s="29">
        <f t="shared" si="6"/>
        <v>0</v>
      </c>
      <c r="U51" s="29" t="str">
        <f t="shared" si="7"/>
        <v>OK</v>
      </c>
    </row>
    <row r="52" spans="1:21" x14ac:dyDescent="0.2">
      <c r="A52">
        <f>Jess!A52</f>
        <v>6955</v>
      </c>
      <c r="B52" t="str">
        <f>Jess!B52</f>
        <v>Oppose</v>
      </c>
      <c r="C52" t="str">
        <f>IFERROR(_xlfn.XLOOKUP(A52,'Hand Coded'!A:A,'Hand Coded'!B:B),"NOT FOUND")</f>
        <v>Oppose</v>
      </c>
      <c r="D52" s="29" t="str">
        <f t="shared" si="0"/>
        <v>✓</v>
      </c>
      <c r="E52" t="str">
        <f>Jess!C52</f>
        <v>public_process</v>
      </c>
      <c r="F52" t="str">
        <f>IFERROR(_xlfn.XLOOKUP(A52,'Hand Coded'!A:A,'Hand Coded'!C:C),"NOT FOUND")</f>
        <v>public_process</v>
      </c>
      <c r="G52" s="29" t="str">
        <f t="shared" si="1"/>
        <v>✓</v>
      </c>
      <c r="H52" t="str">
        <f>Jess!D52</f>
        <v>natural_gas_pipeline</v>
      </c>
      <c r="I52" t="str">
        <f>IFERROR(_xlfn.XLOOKUP(A52,'Hand Coded'!A:A,'Hand Coded'!D:D),"NOT FOUND")</f>
        <v>natural_gas_pipeline</v>
      </c>
      <c r="J52" s="29" t="str">
        <f t="shared" si="2"/>
        <v>✓</v>
      </c>
      <c r="K52" t="str">
        <f>Jess!E52</f>
        <v>organization</v>
      </c>
      <c r="L52" t="str">
        <f>IFERROR(_xlfn.XLOOKUP(A52,'Hand Coded'!A:A,'Hand Coded'!E:E),"NOT FOUND")</f>
        <v>organization</v>
      </c>
      <c r="M52" s="29" t="str">
        <f t="shared" si="3"/>
        <v>✓</v>
      </c>
      <c r="N52" t="str">
        <f>Jess!F52</f>
        <v>NY</v>
      </c>
      <c r="O52" t="str">
        <f>IFERROR(_xlfn.XLOOKUP(A52,'Hand Coded'!A:A,'Hand Coded'!F:F),"NOT FOUND")</f>
        <v>NY</v>
      </c>
      <c r="P52" s="29" t="str">
        <f t="shared" si="4"/>
        <v>✓</v>
      </c>
      <c r="Q52" t="str">
        <f>Jess!G52</f>
        <v>Northeast</v>
      </c>
      <c r="R52" t="str">
        <f>IFERROR(_xlfn.XLOOKUP(A52,'Hand Coded'!A:A,'Hand Coded'!G:G),"NOT FOUND")</f>
        <v>Northeast</v>
      </c>
      <c r="S52" s="29" t="str">
        <f t="shared" si="5"/>
        <v>✓</v>
      </c>
      <c r="T52" s="29">
        <f t="shared" si="6"/>
        <v>0</v>
      </c>
      <c r="U52" s="29" t="str">
        <f t="shared" si="7"/>
        <v>OK</v>
      </c>
    </row>
    <row r="53" spans="1:21" x14ac:dyDescent="0.2">
      <c r="A53">
        <f>Jess!A53</f>
        <v>4746</v>
      </c>
      <c r="B53" t="str">
        <f>Jess!B53</f>
        <v>Support</v>
      </c>
      <c r="C53" t="str">
        <f>IFERROR(_xlfn.XLOOKUP(A53,'Hand Coded'!A:A,'Hand Coded'!B:B),"NOT FOUND")</f>
        <v>Support</v>
      </c>
      <c r="D53" s="29" t="str">
        <f t="shared" si="0"/>
        <v>✓</v>
      </c>
      <c r="E53" t="str">
        <f>Jess!C53</f>
        <v>economics_jobs</v>
      </c>
      <c r="F53" t="str">
        <f>IFERROR(_xlfn.XLOOKUP(A53,'Hand Coded'!A:A,'Hand Coded'!C:C),"NOT FOUND")</f>
        <v>economics_jobs</v>
      </c>
      <c r="G53" s="29" t="str">
        <f t="shared" si="1"/>
        <v>✓</v>
      </c>
      <c r="H53" t="str">
        <f>Jess!D53</f>
        <v>natural_gas_pipeline</v>
      </c>
      <c r="I53" t="str">
        <f>IFERROR(_xlfn.XLOOKUP(A53,'Hand Coded'!A:A,'Hand Coded'!D:D),"NOT FOUND")</f>
        <v>natural_gas_pipeline</v>
      </c>
      <c r="J53" s="29" t="str">
        <f t="shared" si="2"/>
        <v>✓</v>
      </c>
      <c r="K53" t="str">
        <f>Jess!E53</f>
        <v>organization</v>
      </c>
      <c r="L53" t="str">
        <f>IFERROR(_xlfn.XLOOKUP(A53,'Hand Coded'!A:A,'Hand Coded'!E:E),"NOT FOUND")</f>
        <v>organization</v>
      </c>
      <c r="M53" s="29" t="str">
        <f t="shared" si="3"/>
        <v>✓</v>
      </c>
      <c r="N53" t="str">
        <f>Jess!F53</f>
        <v>KY</v>
      </c>
      <c r="O53" t="str">
        <f>IFERROR(_xlfn.XLOOKUP(A53,'Hand Coded'!A:A,'Hand Coded'!F:F),"NOT FOUND")</f>
        <v>KY</v>
      </c>
      <c r="P53" s="29" t="str">
        <f t="shared" si="4"/>
        <v>✓</v>
      </c>
      <c r="Q53" t="str">
        <f>Jess!G53</f>
        <v>Southeast</v>
      </c>
      <c r="R53" t="str">
        <f>IFERROR(_xlfn.XLOOKUP(A53,'Hand Coded'!A:A,'Hand Coded'!G:G),"NOT FOUND")</f>
        <v>Southeast</v>
      </c>
      <c r="S53" s="29" t="str">
        <f t="shared" si="5"/>
        <v>✓</v>
      </c>
      <c r="T53" s="29">
        <f t="shared" si="6"/>
        <v>0</v>
      </c>
      <c r="U53" s="29" t="str">
        <f t="shared" si="7"/>
        <v>OK</v>
      </c>
    </row>
    <row r="54" spans="1:21" x14ac:dyDescent="0.2">
      <c r="A54">
        <f>Jess!A54</f>
        <v>1485</v>
      </c>
      <c r="B54" t="str">
        <f>Jess!B54</f>
        <v>Oppose</v>
      </c>
      <c r="C54" t="str">
        <f>IFERROR(_xlfn.XLOOKUP(A54,'Hand Coded'!A:A,'Hand Coded'!B:B),"NOT FOUND")</f>
        <v>Oppose</v>
      </c>
      <c r="D54" s="29" t="str">
        <f t="shared" si="0"/>
        <v>✓</v>
      </c>
      <c r="E54" t="str">
        <f>Jess!C54</f>
        <v>wildlife_ecosystem</v>
      </c>
      <c r="F54" t="str">
        <f>IFERROR(_xlfn.XLOOKUP(A54,'Hand Coded'!A:A,'Hand Coded'!C:C),"NOT FOUND")</f>
        <v>wildlife_ecosystem</v>
      </c>
      <c r="G54" s="29" t="str">
        <f t="shared" si="1"/>
        <v>✓</v>
      </c>
      <c r="H54" t="str">
        <f>Jess!D54</f>
        <v>natural_gas_pipeline</v>
      </c>
      <c r="I54" t="str">
        <f>IFERROR(_xlfn.XLOOKUP(A54,'Hand Coded'!A:A,'Hand Coded'!D:D),"NOT FOUND")</f>
        <v>natural_gas_pipeline</v>
      </c>
      <c r="J54" s="29" t="str">
        <f t="shared" si="2"/>
        <v>✓</v>
      </c>
      <c r="K54" t="str">
        <f>Jess!E54</f>
        <v>organization</v>
      </c>
      <c r="L54" t="str">
        <f>IFERROR(_xlfn.XLOOKUP(A54,'Hand Coded'!A:A,'Hand Coded'!E:E),"NOT FOUND")</f>
        <v>organization</v>
      </c>
      <c r="M54" s="29" t="str">
        <f t="shared" si="3"/>
        <v>✓</v>
      </c>
      <c r="N54">
        <f>Jess!F54</f>
        <v>0</v>
      </c>
      <c r="O54">
        <f>IFERROR(_xlfn.XLOOKUP(A54,'Hand Coded'!A:A,'Hand Coded'!F:F),"NOT FOUND")</f>
        <v>0</v>
      </c>
      <c r="P54" s="29" t="str">
        <f t="shared" si="4"/>
        <v>✓</v>
      </c>
      <c r="Q54" t="str">
        <f>Jess!G54</f>
        <v>Midwest</v>
      </c>
      <c r="R54" t="str">
        <f>IFERROR(_xlfn.XLOOKUP(A54,'Hand Coded'!A:A,'Hand Coded'!G:G),"NOT FOUND")</f>
        <v>Midwest</v>
      </c>
      <c r="S54" s="29" t="str">
        <f t="shared" si="5"/>
        <v>✓</v>
      </c>
      <c r="T54" s="29">
        <f t="shared" si="6"/>
        <v>0</v>
      </c>
      <c r="U54" s="29" t="str">
        <f t="shared" si="7"/>
        <v>OK</v>
      </c>
    </row>
    <row r="55" spans="1:21" x14ac:dyDescent="0.2">
      <c r="A55">
        <f>Jess!A55</f>
        <v>9768</v>
      </c>
      <c r="B55" t="str">
        <f>Jess!B55</f>
        <v>Oppose</v>
      </c>
      <c r="C55" t="str">
        <f>IFERROR(_xlfn.XLOOKUP(A55,'Hand Coded'!A:A,'Hand Coded'!B:B),"NOT FOUND")</f>
        <v>Oppose</v>
      </c>
      <c r="D55" s="29" t="str">
        <f t="shared" si="0"/>
        <v>✓</v>
      </c>
      <c r="E55" t="str">
        <f>Jess!C55</f>
        <v>wildlife_ecosystem</v>
      </c>
      <c r="F55" t="str">
        <f>IFERROR(_xlfn.XLOOKUP(A55,'Hand Coded'!A:A,'Hand Coded'!C:C),"NOT FOUND")</f>
        <v>wildlife_ecosystem</v>
      </c>
      <c r="G55" s="29" t="str">
        <f t="shared" si="1"/>
        <v>✓</v>
      </c>
      <c r="H55" t="str">
        <f>Jess!D55</f>
        <v>hydropower</v>
      </c>
      <c r="I55" t="str">
        <f>IFERROR(_xlfn.XLOOKUP(A55,'Hand Coded'!A:A,'Hand Coded'!D:D),"NOT FOUND")</f>
        <v>hydropower</v>
      </c>
      <c r="J55" s="29" t="str">
        <f t="shared" si="2"/>
        <v>✓</v>
      </c>
      <c r="K55" t="str">
        <f>Jess!E55</f>
        <v>resident</v>
      </c>
      <c r="L55" t="str">
        <f>IFERROR(_xlfn.XLOOKUP(A55,'Hand Coded'!A:A,'Hand Coded'!E:E),"NOT FOUND")</f>
        <v>resident</v>
      </c>
      <c r="M55" s="29" t="str">
        <f t="shared" si="3"/>
        <v>✓</v>
      </c>
      <c r="N55" t="str">
        <f>Jess!F55</f>
        <v>WY</v>
      </c>
      <c r="O55" t="str">
        <f>IFERROR(_xlfn.XLOOKUP(A55,'Hand Coded'!A:A,'Hand Coded'!F:F),"NOT FOUND")</f>
        <v>WY</v>
      </c>
      <c r="P55" s="29" t="str">
        <f t="shared" si="4"/>
        <v>✓</v>
      </c>
      <c r="Q55" t="str">
        <f>Jess!G55</f>
        <v>West</v>
      </c>
      <c r="R55" t="str">
        <f>IFERROR(_xlfn.XLOOKUP(A55,'Hand Coded'!A:A,'Hand Coded'!G:G),"NOT FOUND")</f>
        <v>West</v>
      </c>
      <c r="S55" s="29" t="str">
        <f t="shared" si="5"/>
        <v>✓</v>
      </c>
      <c r="T55" s="29">
        <f t="shared" si="6"/>
        <v>0</v>
      </c>
      <c r="U55" s="29" t="str">
        <f t="shared" si="7"/>
        <v>OK</v>
      </c>
    </row>
    <row r="56" spans="1:21" x14ac:dyDescent="0.2">
      <c r="A56">
        <f>Jess!A56</f>
        <v>8159</v>
      </c>
      <c r="B56">
        <f>Jess!B56</f>
        <v>0</v>
      </c>
      <c r="C56" t="str">
        <f>IFERROR(_xlfn.XLOOKUP(A56,'Hand Coded'!A:A,'Hand Coded'!B:B),"NOT FOUND")</f>
        <v>NOT FOUND</v>
      </c>
      <c r="D56" s="29" t="str">
        <f t="shared" si="0"/>
        <v>N/A</v>
      </c>
      <c r="E56">
        <f>Jess!C56</f>
        <v>0</v>
      </c>
      <c r="F56" t="str">
        <f>IFERROR(_xlfn.XLOOKUP(A56,'Hand Coded'!A:A,'Hand Coded'!C:C),"NOT FOUND")</f>
        <v>NOT FOUND</v>
      </c>
      <c r="G56" s="29" t="str">
        <f t="shared" si="1"/>
        <v>N/A</v>
      </c>
      <c r="H56">
        <f>Jess!D56</f>
        <v>0</v>
      </c>
      <c r="I56" t="str">
        <f>IFERROR(_xlfn.XLOOKUP(A56,'Hand Coded'!A:A,'Hand Coded'!D:D),"NOT FOUND")</f>
        <v>NOT FOUND</v>
      </c>
      <c r="J56" s="29" t="str">
        <f t="shared" si="2"/>
        <v>N/A</v>
      </c>
      <c r="K56">
        <f>Jess!E56</f>
        <v>0</v>
      </c>
      <c r="L56" t="str">
        <f>IFERROR(_xlfn.XLOOKUP(A56,'Hand Coded'!A:A,'Hand Coded'!E:E),"NOT FOUND")</f>
        <v>NOT FOUND</v>
      </c>
      <c r="M56" s="29" t="str">
        <f t="shared" si="3"/>
        <v>N/A</v>
      </c>
      <c r="N56">
        <f>Jess!F56</f>
        <v>0</v>
      </c>
      <c r="O56" t="str">
        <f>IFERROR(_xlfn.XLOOKUP(A56,'Hand Coded'!A:A,'Hand Coded'!F:F),"NOT FOUND")</f>
        <v>NOT FOUND</v>
      </c>
      <c r="P56" s="29" t="str">
        <f t="shared" si="4"/>
        <v>N/A</v>
      </c>
      <c r="Q56">
        <f>Jess!G56</f>
        <v>0</v>
      </c>
      <c r="R56" t="str">
        <f>IFERROR(_xlfn.XLOOKUP(A56,'Hand Coded'!A:A,'Hand Coded'!G:G),"NOT FOUND")</f>
        <v>NOT FOUND</v>
      </c>
      <c r="S56" s="29" t="str">
        <f t="shared" si="5"/>
        <v>N/A</v>
      </c>
      <c r="T56" s="29">
        <f t="shared" si="6"/>
        <v>0</v>
      </c>
      <c r="U56" s="29" t="str">
        <f t="shared" si="7"/>
        <v>NOT IN HC</v>
      </c>
    </row>
    <row r="57" spans="1:21" x14ac:dyDescent="0.2">
      <c r="A57">
        <f>Jess!A57</f>
        <v>10182</v>
      </c>
      <c r="B57">
        <f>Jess!B57</f>
        <v>0</v>
      </c>
      <c r="C57" t="str">
        <f>IFERROR(_xlfn.XLOOKUP(A57,'Hand Coded'!A:A,'Hand Coded'!B:B),"NOT FOUND")</f>
        <v>NOT FOUND</v>
      </c>
      <c r="D57" s="29" t="str">
        <f t="shared" si="0"/>
        <v>N/A</v>
      </c>
      <c r="E57">
        <f>Jess!C57</f>
        <v>0</v>
      </c>
      <c r="F57" t="str">
        <f>IFERROR(_xlfn.XLOOKUP(A57,'Hand Coded'!A:A,'Hand Coded'!C:C),"NOT FOUND")</f>
        <v>NOT FOUND</v>
      </c>
      <c r="G57" s="29" t="str">
        <f t="shared" si="1"/>
        <v>N/A</v>
      </c>
      <c r="H57">
        <f>Jess!D57</f>
        <v>0</v>
      </c>
      <c r="I57" t="str">
        <f>IFERROR(_xlfn.XLOOKUP(A57,'Hand Coded'!A:A,'Hand Coded'!D:D),"NOT FOUND")</f>
        <v>NOT FOUND</v>
      </c>
      <c r="J57" s="29" t="str">
        <f t="shared" si="2"/>
        <v>N/A</v>
      </c>
      <c r="K57">
        <f>Jess!E57</f>
        <v>0</v>
      </c>
      <c r="L57" t="str">
        <f>IFERROR(_xlfn.XLOOKUP(A57,'Hand Coded'!A:A,'Hand Coded'!E:E),"NOT FOUND")</f>
        <v>NOT FOUND</v>
      </c>
      <c r="M57" s="29" t="str">
        <f t="shared" si="3"/>
        <v>N/A</v>
      </c>
      <c r="N57">
        <f>Jess!F57</f>
        <v>0</v>
      </c>
      <c r="O57" t="str">
        <f>IFERROR(_xlfn.XLOOKUP(A57,'Hand Coded'!A:A,'Hand Coded'!F:F),"NOT FOUND")</f>
        <v>NOT FOUND</v>
      </c>
      <c r="P57" s="29" t="str">
        <f t="shared" si="4"/>
        <v>N/A</v>
      </c>
      <c r="Q57">
        <f>Jess!G57</f>
        <v>0</v>
      </c>
      <c r="R57" t="str">
        <f>IFERROR(_xlfn.XLOOKUP(A57,'Hand Coded'!A:A,'Hand Coded'!G:G),"NOT FOUND")</f>
        <v>NOT FOUND</v>
      </c>
      <c r="S57" s="29" t="str">
        <f t="shared" si="5"/>
        <v>N/A</v>
      </c>
      <c r="T57" s="29">
        <f t="shared" si="6"/>
        <v>0</v>
      </c>
      <c r="U57" s="29" t="str">
        <f t="shared" si="7"/>
        <v>NOT IN HC</v>
      </c>
    </row>
    <row r="58" spans="1:21" x14ac:dyDescent="0.2">
      <c r="A58">
        <f>Jess!A58</f>
        <v>5296</v>
      </c>
      <c r="B58">
        <f>Jess!B58</f>
        <v>0</v>
      </c>
      <c r="C58" t="str">
        <f>IFERROR(_xlfn.XLOOKUP(A58,'Hand Coded'!A:A,'Hand Coded'!B:B),"NOT FOUND")</f>
        <v>NOT FOUND</v>
      </c>
      <c r="D58" s="29" t="str">
        <f t="shared" si="0"/>
        <v>N/A</v>
      </c>
      <c r="E58">
        <f>Jess!C58</f>
        <v>0</v>
      </c>
      <c r="F58" t="str">
        <f>IFERROR(_xlfn.XLOOKUP(A58,'Hand Coded'!A:A,'Hand Coded'!C:C),"NOT FOUND")</f>
        <v>NOT FOUND</v>
      </c>
      <c r="G58" s="29" t="str">
        <f t="shared" si="1"/>
        <v>N/A</v>
      </c>
      <c r="H58">
        <f>Jess!D58</f>
        <v>0</v>
      </c>
      <c r="I58" t="str">
        <f>IFERROR(_xlfn.XLOOKUP(A58,'Hand Coded'!A:A,'Hand Coded'!D:D),"NOT FOUND")</f>
        <v>NOT FOUND</v>
      </c>
      <c r="J58" s="29" t="str">
        <f t="shared" si="2"/>
        <v>N/A</v>
      </c>
      <c r="K58">
        <f>Jess!E58</f>
        <v>0</v>
      </c>
      <c r="L58" t="str">
        <f>IFERROR(_xlfn.XLOOKUP(A58,'Hand Coded'!A:A,'Hand Coded'!E:E),"NOT FOUND")</f>
        <v>NOT FOUND</v>
      </c>
      <c r="M58" s="29" t="str">
        <f t="shared" si="3"/>
        <v>N/A</v>
      </c>
      <c r="N58">
        <f>Jess!F58</f>
        <v>0</v>
      </c>
      <c r="O58" t="str">
        <f>IFERROR(_xlfn.XLOOKUP(A58,'Hand Coded'!A:A,'Hand Coded'!F:F),"NOT FOUND")</f>
        <v>NOT FOUND</v>
      </c>
      <c r="P58" s="29" t="str">
        <f t="shared" si="4"/>
        <v>N/A</v>
      </c>
      <c r="Q58">
        <f>Jess!G58</f>
        <v>0</v>
      </c>
      <c r="R58" t="str">
        <f>IFERROR(_xlfn.XLOOKUP(A58,'Hand Coded'!A:A,'Hand Coded'!G:G),"NOT FOUND")</f>
        <v>NOT FOUND</v>
      </c>
      <c r="S58" s="29" t="str">
        <f t="shared" si="5"/>
        <v>N/A</v>
      </c>
      <c r="T58" s="29">
        <f t="shared" si="6"/>
        <v>0</v>
      </c>
      <c r="U58" s="29" t="str">
        <f t="shared" si="7"/>
        <v>NOT IN HC</v>
      </c>
    </row>
    <row r="59" spans="1:21" x14ac:dyDescent="0.2">
      <c r="A59">
        <f>Jess!A59</f>
        <v>777</v>
      </c>
      <c r="B59">
        <f>Jess!B59</f>
        <v>0</v>
      </c>
      <c r="C59" t="str">
        <f>IFERROR(_xlfn.XLOOKUP(A59,'Hand Coded'!A:A,'Hand Coded'!B:B),"NOT FOUND")</f>
        <v>NOT FOUND</v>
      </c>
      <c r="D59" s="29" t="str">
        <f t="shared" si="0"/>
        <v>N/A</v>
      </c>
      <c r="E59">
        <f>Jess!C59</f>
        <v>0</v>
      </c>
      <c r="F59" t="str">
        <f>IFERROR(_xlfn.XLOOKUP(A59,'Hand Coded'!A:A,'Hand Coded'!C:C),"NOT FOUND")</f>
        <v>NOT FOUND</v>
      </c>
      <c r="G59" s="29" t="str">
        <f t="shared" si="1"/>
        <v>N/A</v>
      </c>
      <c r="H59">
        <f>Jess!D59</f>
        <v>0</v>
      </c>
      <c r="I59" t="str">
        <f>IFERROR(_xlfn.XLOOKUP(A59,'Hand Coded'!A:A,'Hand Coded'!D:D),"NOT FOUND")</f>
        <v>NOT FOUND</v>
      </c>
      <c r="J59" s="29" t="str">
        <f t="shared" si="2"/>
        <v>N/A</v>
      </c>
      <c r="K59">
        <f>Jess!E59</f>
        <v>0</v>
      </c>
      <c r="L59" t="str">
        <f>IFERROR(_xlfn.XLOOKUP(A59,'Hand Coded'!A:A,'Hand Coded'!E:E),"NOT FOUND")</f>
        <v>NOT FOUND</v>
      </c>
      <c r="M59" s="29" t="str">
        <f t="shared" si="3"/>
        <v>N/A</v>
      </c>
      <c r="N59">
        <f>Jess!F59</f>
        <v>0</v>
      </c>
      <c r="O59" t="str">
        <f>IFERROR(_xlfn.XLOOKUP(A59,'Hand Coded'!A:A,'Hand Coded'!F:F),"NOT FOUND")</f>
        <v>NOT FOUND</v>
      </c>
      <c r="P59" s="29" t="str">
        <f t="shared" si="4"/>
        <v>N/A</v>
      </c>
      <c r="Q59">
        <f>Jess!G59</f>
        <v>0</v>
      </c>
      <c r="R59" t="str">
        <f>IFERROR(_xlfn.XLOOKUP(A59,'Hand Coded'!A:A,'Hand Coded'!G:G),"NOT FOUND")</f>
        <v>NOT FOUND</v>
      </c>
      <c r="S59" s="29" t="str">
        <f t="shared" si="5"/>
        <v>N/A</v>
      </c>
      <c r="T59" s="29">
        <f t="shared" si="6"/>
        <v>0</v>
      </c>
      <c r="U59" s="29" t="str">
        <f t="shared" si="7"/>
        <v>NOT IN HC</v>
      </c>
    </row>
    <row r="60" spans="1:21" x14ac:dyDescent="0.2">
      <c r="A60">
        <f>Jess!A60</f>
        <v>10168</v>
      </c>
      <c r="B60">
        <f>Jess!B60</f>
        <v>0</v>
      </c>
      <c r="C60" t="str">
        <f>IFERROR(_xlfn.XLOOKUP(A60,'Hand Coded'!A:A,'Hand Coded'!B:B),"NOT FOUND")</f>
        <v>NOT FOUND</v>
      </c>
      <c r="D60" s="29" t="str">
        <f t="shared" si="0"/>
        <v>N/A</v>
      </c>
      <c r="E60">
        <f>Jess!C60</f>
        <v>0</v>
      </c>
      <c r="F60" t="str">
        <f>IFERROR(_xlfn.XLOOKUP(A60,'Hand Coded'!A:A,'Hand Coded'!C:C),"NOT FOUND")</f>
        <v>NOT FOUND</v>
      </c>
      <c r="G60" s="29" t="str">
        <f t="shared" si="1"/>
        <v>N/A</v>
      </c>
      <c r="H60">
        <f>Jess!D60</f>
        <v>0</v>
      </c>
      <c r="I60" t="str">
        <f>IFERROR(_xlfn.XLOOKUP(A60,'Hand Coded'!A:A,'Hand Coded'!D:D),"NOT FOUND")</f>
        <v>NOT FOUND</v>
      </c>
      <c r="J60" s="29" t="str">
        <f t="shared" si="2"/>
        <v>N/A</v>
      </c>
      <c r="K60">
        <f>Jess!E60</f>
        <v>0</v>
      </c>
      <c r="L60" t="str">
        <f>IFERROR(_xlfn.XLOOKUP(A60,'Hand Coded'!A:A,'Hand Coded'!E:E),"NOT FOUND")</f>
        <v>NOT FOUND</v>
      </c>
      <c r="M60" s="29" t="str">
        <f t="shared" si="3"/>
        <v>N/A</v>
      </c>
      <c r="N60">
        <f>Jess!F60</f>
        <v>0</v>
      </c>
      <c r="O60" t="str">
        <f>IFERROR(_xlfn.XLOOKUP(A60,'Hand Coded'!A:A,'Hand Coded'!F:F),"NOT FOUND")</f>
        <v>NOT FOUND</v>
      </c>
      <c r="P60" s="29" t="str">
        <f t="shared" si="4"/>
        <v>N/A</v>
      </c>
      <c r="Q60">
        <f>Jess!G60</f>
        <v>0</v>
      </c>
      <c r="R60" t="str">
        <f>IFERROR(_xlfn.XLOOKUP(A60,'Hand Coded'!A:A,'Hand Coded'!G:G),"NOT FOUND")</f>
        <v>NOT FOUND</v>
      </c>
      <c r="S60" s="29" t="str">
        <f t="shared" si="5"/>
        <v>N/A</v>
      </c>
      <c r="T60" s="29">
        <f t="shared" si="6"/>
        <v>0</v>
      </c>
      <c r="U60" s="29" t="str">
        <f t="shared" si="7"/>
        <v>NOT IN HC</v>
      </c>
    </row>
    <row r="61" spans="1:21" x14ac:dyDescent="0.2">
      <c r="A61">
        <f>Jess!A61</f>
        <v>3522</v>
      </c>
      <c r="B61">
        <f>Jess!B61</f>
        <v>0</v>
      </c>
      <c r="C61" t="str">
        <f>IFERROR(_xlfn.XLOOKUP(A61,'Hand Coded'!A:A,'Hand Coded'!B:B),"NOT FOUND")</f>
        <v>NOT FOUND</v>
      </c>
      <c r="D61" s="29" t="str">
        <f t="shared" si="0"/>
        <v>N/A</v>
      </c>
      <c r="E61">
        <f>Jess!C61</f>
        <v>0</v>
      </c>
      <c r="F61" t="str">
        <f>IFERROR(_xlfn.XLOOKUP(A61,'Hand Coded'!A:A,'Hand Coded'!C:C),"NOT FOUND")</f>
        <v>NOT FOUND</v>
      </c>
      <c r="G61" s="29" t="str">
        <f t="shared" si="1"/>
        <v>N/A</v>
      </c>
      <c r="H61">
        <f>Jess!D61</f>
        <v>0</v>
      </c>
      <c r="I61" t="str">
        <f>IFERROR(_xlfn.XLOOKUP(A61,'Hand Coded'!A:A,'Hand Coded'!D:D),"NOT FOUND")</f>
        <v>NOT FOUND</v>
      </c>
      <c r="J61" s="29" t="str">
        <f t="shared" si="2"/>
        <v>N/A</v>
      </c>
      <c r="K61">
        <f>Jess!E61</f>
        <v>0</v>
      </c>
      <c r="L61" t="str">
        <f>IFERROR(_xlfn.XLOOKUP(A61,'Hand Coded'!A:A,'Hand Coded'!E:E),"NOT FOUND")</f>
        <v>NOT FOUND</v>
      </c>
      <c r="M61" s="29" t="str">
        <f t="shared" si="3"/>
        <v>N/A</v>
      </c>
      <c r="N61">
        <f>Jess!F61</f>
        <v>0</v>
      </c>
      <c r="O61" t="str">
        <f>IFERROR(_xlfn.XLOOKUP(A61,'Hand Coded'!A:A,'Hand Coded'!F:F),"NOT FOUND")</f>
        <v>NOT FOUND</v>
      </c>
      <c r="P61" s="29" t="str">
        <f t="shared" si="4"/>
        <v>N/A</v>
      </c>
      <c r="Q61">
        <f>Jess!G61</f>
        <v>0</v>
      </c>
      <c r="R61" t="str">
        <f>IFERROR(_xlfn.XLOOKUP(A61,'Hand Coded'!A:A,'Hand Coded'!G:G),"NOT FOUND")</f>
        <v>NOT FOUND</v>
      </c>
      <c r="S61" s="29" t="str">
        <f t="shared" si="5"/>
        <v>N/A</v>
      </c>
      <c r="T61" s="29">
        <f t="shared" si="6"/>
        <v>0</v>
      </c>
      <c r="U61" s="29" t="str">
        <f t="shared" si="7"/>
        <v>NOT IN HC</v>
      </c>
    </row>
  </sheetData>
  <conditionalFormatting sqref="D2:D61">
    <cfRule type="containsText" dxfId="18" priority="1" operator="containsText" text="✗">
      <formula>NOT(ISERROR(SEARCH("✗",D2)))</formula>
    </cfRule>
    <cfRule type="containsText" dxfId="17" priority="2" operator="containsText" text="✓">
      <formula>NOT(ISERROR(SEARCH("✓",D2)))</formula>
    </cfRule>
  </conditionalFormatting>
  <conditionalFormatting sqref="G2:G61">
    <cfRule type="containsText" dxfId="16" priority="3" operator="containsText" text="✗">
      <formula>NOT(ISERROR(SEARCH("✗",G2)))</formula>
    </cfRule>
    <cfRule type="containsText" dxfId="15" priority="4" operator="containsText" text="✓">
      <formula>NOT(ISERROR(SEARCH("✓",G2)))</formula>
    </cfRule>
  </conditionalFormatting>
  <conditionalFormatting sqref="J2:J61">
    <cfRule type="containsText" dxfId="14" priority="5" operator="containsText" text="✗">
      <formula>NOT(ISERROR(SEARCH("✗",J2)))</formula>
    </cfRule>
    <cfRule type="containsText" dxfId="13" priority="6" operator="containsText" text="✓">
      <formula>NOT(ISERROR(SEARCH("✓",J2)))</formula>
    </cfRule>
  </conditionalFormatting>
  <conditionalFormatting sqref="M2:M61">
    <cfRule type="containsText" dxfId="12" priority="7" operator="containsText" text="✗">
      <formula>NOT(ISERROR(SEARCH("✗",M2)))</formula>
    </cfRule>
    <cfRule type="containsText" dxfId="11" priority="8" operator="containsText" text="✓">
      <formula>NOT(ISERROR(SEARCH("✓",M2)))</formula>
    </cfRule>
  </conditionalFormatting>
  <conditionalFormatting sqref="P2:P61">
    <cfRule type="containsText" dxfId="10" priority="9" operator="containsText" text="✗">
      <formula>NOT(ISERROR(SEARCH("✗",P2)))</formula>
    </cfRule>
    <cfRule type="containsText" dxfId="9" priority="10" operator="containsText" text="✓">
      <formula>NOT(ISERROR(SEARCH("✓",P2)))</formula>
    </cfRule>
  </conditionalFormatting>
  <conditionalFormatting sqref="S2:S61">
    <cfRule type="containsText" dxfId="8" priority="11" operator="containsText" text="✗">
      <formula>NOT(ISERROR(SEARCH("✗",S2)))</formula>
    </cfRule>
    <cfRule type="containsText" dxfId="7" priority="12" operator="containsText" text="✓">
      <formula>NOT(ISERROR(SEARCH("✓",S2)))</formula>
    </cfRule>
  </conditionalFormatting>
  <conditionalFormatting sqref="T2:T61">
    <cfRule type="cellIs" dxfId="6" priority="16" operator="greaterThan">
      <formula>0</formula>
    </cfRule>
  </conditionalFormatting>
  <conditionalFormatting sqref="U2:U61">
    <cfRule type="containsText" dxfId="5" priority="13" operator="containsText" text="REVIEW">
      <formula>NOT(ISERROR(SEARCH("REVIEW",U2)))</formula>
    </cfRule>
    <cfRule type="containsText" dxfId="4" priority="14" operator="containsText" text="OK">
      <formula>NOT(ISERROR(SEARCH("OK",U2)))</formula>
    </cfRule>
    <cfRule type="containsText" dxfId="3" priority="15" operator="containsText" text="NOT IN HC">
      <formula>NOT(ISERROR(SEARCH("NOT IN HC",U2)))</formula>
    </cfRule>
  </conditionalFormatting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5714-F45D-0344-A432-9ED49F703A6D}">
  <dimension ref="A1:D23"/>
  <sheetViews>
    <sheetView tabSelected="1" workbookViewId="0">
      <selection activeCell="B3" sqref="B3"/>
    </sheetView>
  </sheetViews>
  <sheetFormatPr baseColWidth="10" defaultRowHeight="15" x14ac:dyDescent="0.2"/>
  <cols>
    <col min="1" max="1" width="33.33203125" customWidth="1"/>
    <col min="2" max="2" width="21.6640625" customWidth="1"/>
    <col min="3" max="3" width="41.6640625" customWidth="1"/>
    <col min="4" max="4" width="16.6640625" customWidth="1"/>
    <col min="5" max="7" width="29" customWidth="1"/>
  </cols>
  <sheetData>
    <row r="1" spans="1:4" ht="17" x14ac:dyDescent="0.2">
      <c r="A1" s="9" t="s">
        <v>11</v>
      </c>
    </row>
    <row r="2" spans="1:4" x14ac:dyDescent="0.2">
      <c r="A2" s="10" t="s">
        <v>433</v>
      </c>
      <c r="B2" s="20" t="s">
        <v>434</v>
      </c>
      <c r="C2" s="20" t="s">
        <v>435</v>
      </c>
      <c r="D2" s="21" t="s">
        <v>436</v>
      </c>
    </row>
    <row r="3" spans="1:4" x14ac:dyDescent="0.2">
      <c r="A3" s="11" t="s">
        <v>397</v>
      </c>
      <c r="B3" s="14" cm="1">
        <f t="array" ref="B3">SUMPRODUCT(('Hand Coded'!B$2:B$10000=A3)*(LOWER('Hand Coded'!B$2:B$10000)=LOWER(IFERROR(INDEX('gemini-3.1-flash-lite-preview'!F:F,MATCH('Hand Coded'!A$2:A$10000,'gemini-3.1-flash-lite-preview'!A:A,0)),""))))</f>
        <v>36</v>
      </c>
      <c r="C3" s="14">
        <f>COUNTIF('Hand Coded'!B:B,A3)</f>
        <v>47</v>
      </c>
      <c r="D3" s="15">
        <f>IF(C3=0,"",B3/C3)</f>
        <v>0.76595744680851063</v>
      </c>
    </row>
    <row r="4" spans="1:4" x14ac:dyDescent="0.2">
      <c r="A4" s="11" t="s">
        <v>382</v>
      </c>
      <c r="B4" s="14" cm="1">
        <f t="array" ref="B4">SUMPRODUCT(('Hand Coded'!B$2:B$10000=A4)*(LOWER('Hand Coded'!B$2:B$10000)=LOWER(IFERROR(INDEX('gemini-3.1-flash-lite-preview'!F:F,MATCH('Hand Coded'!A$2:A$10000,'gemini-3.1-flash-lite-preview'!A:A,0)),""))))</f>
        <v>36</v>
      </c>
      <c r="C4" s="14">
        <f>COUNTIF('Hand Coded'!B:B,A4)</f>
        <v>39</v>
      </c>
      <c r="D4" s="15">
        <f>IF(C4=0,"",B4/C4)</f>
        <v>0.92307692307692313</v>
      </c>
    </row>
    <row r="5" spans="1:4" x14ac:dyDescent="0.2">
      <c r="A5" s="11" t="s">
        <v>392</v>
      </c>
      <c r="B5" s="14" cm="1">
        <f t="array" ref="B5">SUMPRODUCT(('Hand Coded'!B$2:B$10000=A5)*(LOWER('Hand Coded'!B$2:B$10000)=LOWER(IFERROR(INDEX('gemini-3.1-flash-lite-preview'!F:F,MATCH('Hand Coded'!A$2:A$10000,'gemini-3.1-flash-lite-preview'!A:A,0)),""))))</f>
        <v>90</v>
      </c>
      <c r="C5" s="14">
        <f>COUNTIF('Hand Coded'!B:B,A5)</f>
        <v>101</v>
      </c>
      <c r="D5" s="15">
        <f>IF(C5=0,"",B5/C5)</f>
        <v>0.8910891089108911</v>
      </c>
    </row>
    <row r="6" spans="1:4" ht="16" thickBot="1" x14ac:dyDescent="0.25">
      <c r="A6" s="12" t="s">
        <v>381</v>
      </c>
      <c r="B6" s="16" cm="1">
        <f t="array" ref="B6">SUMPRODUCT(('Hand Coded'!B$2:B$10000=A6)*(LOWER('Hand Coded'!B$2:B$10000)=LOWER(IFERROR(INDEX('gemini-3.1-flash-lite-preview'!F:F,MATCH('Hand Coded'!A$2:A$10000,'gemini-3.1-flash-lite-preview'!A:A,0)),""))))</f>
        <v>34</v>
      </c>
      <c r="C6" s="16">
        <f>COUNTIF('Hand Coded'!B:B,A6)</f>
        <v>47</v>
      </c>
      <c r="D6" s="17">
        <f>IF(C6=0,"",B6/C6)</f>
        <v>0.72340425531914898</v>
      </c>
    </row>
    <row r="7" spans="1:4" x14ac:dyDescent="0.2">
      <c r="A7" s="13" t="s">
        <v>437</v>
      </c>
      <c r="B7" s="18">
        <f>SUM(B3:B6)</f>
        <v>196</v>
      </c>
      <c r="C7" s="18">
        <f>SUM(C3:C6)</f>
        <v>234</v>
      </c>
      <c r="D7" s="19">
        <f>IF(C7=0,"",B7/C7)</f>
        <v>0.83760683760683763</v>
      </c>
    </row>
    <row r="9" spans="1:4" ht="17" x14ac:dyDescent="0.2">
      <c r="A9" s="9" t="s">
        <v>144</v>
      </c>
    </row>
    <row r="10" spans="1:4" x14ac:dyDescent="0.2">
      <c r="A10" s="10" t="s">
        <v>433</v>
      </c>
      <c r="B10" s="20" t="s">
        <v>434</v>
      </c>
      <c r="C10" s="20" t="s">
        <v>435</v>
      </c>
      <c r="D10" s="21" t="s">
        <v>436</v>
      </c>
    </row>
    <row r="11" spans="1:4" x14ac:dyDescent="0.2">
      <c r="A11" s="11" t="s">
        <v>397</v>
      </c>
      <c r="B11" s="14" cm="1">
        <f t="array" ref="B11">SUMPRODUCT(('Hand Coded'!B$2:B$10000=A11)*(LOWER('Hand Coded'!B$2:B$10000)=LOWER(IFERROR(INDEX('gpt-5.4-mini'!F:F,MATCH('Hand Coded'!A$2:A$10000,'gpt-5.4-mini'!A:A,0)),""))))</f>
        <v>33</v>
      </c>
      <c r="C11" s="14">
        <f>COUNTIF('Hand Coded'!B:B,A11)</f>
        <v>47</v>
      </c>
      <c r="D11" s="15">
        <f>IF(C11=0,"",B11/C11)</f>
        <v>0.7021276595744681</v>
      </c>
    </row>
    <row r="12" spans="1:4" x14ac:dyDescent="0.2">
      <c r="A12" s="11" t="s">
        <v>382</v>
      </c>
      <c r="B12" s="14" cm="1">
        <f t="array" ref="B12">SUMPRODUCT(('Hand Coded'!B$2:B$10000=A12)*(LOWER('Hand Coded'!B$2:B$10000)=LOWER(IFERROR(INDEX('gpt-5.4-mini'!F:F,MATCH('Hand Coded'!A$2:A$10000,'gpt-5.4-mini'!A:A,0)),""))))</f>
        <v>33</v>
      </c>
      <c r="C12" s="14">
        <f>COUNTIF('Hand Coded'!B:B,A12)</f>
        <v>39</v>
      </c>
      <c r="D12" s="15">
        <f>IF(C12=0,"",B12/C12)</f>
        <v>0.84615384615384615</v>
      </c>
    </row>
    <row r="13" spans="1:4" x14ac:dyDescent="0.2">
      <c r="A13" s="11" t="s">
        <v>392</v>
      </c>
      <c r="B13" s="14" cm="1">
        <f t="array" ref="B13">SUMPRODUCT(('Hand Coded'!B$2:B$10000=A13)*(LOWER('Hand Coded'!B$2:B$10000)=LOWER(IFERROR(INDEX('gpt-5.4-mini'!F:F,MATCH('Hand Coded'!A$2:A$10000,'gpt-5.4-mini'!A:A,0)),""))))</f>
        <v>88</v>
      </c>
      <c r="C13" s="14">
        <f>COUNTIF('Hand Coded'!B:B,A13)</f>
        <v>101</v>
      </c>
      <c r="D13" s="15">
        <f>IF(C13=0,"",B13/C13)</f>
        <v>0.87128712871287128</v>
      </c>
    </row>
    <row r="14" spans="1:4" ht="16" thickBot="1" x14ac:dyDescent="0.25">
      <c r="A14" s="12" t="s">
        <v>381</v>
      </c>
      <c r="B14" s="16" cm="1">
        <f t="array" ref="B14">SUMPRODUCT(('Hand Coded'!B$2:B$10000=A14)*(LOWER('Hand Coded'!B$2:B$10000)=LOWER(IFERROR(INDEX('gpt-5.4-mini'!F:F,MATCH('Hand Coded'!A$2:A$10000,'gpt-5.4-mini'!A:A,0)),""))))</f>
        <v>36</v>
      </c>
      <c r="C14" s="16">
        <f>COUNTIF('Hand Coded'!B:B,A14)</f>
        <v>47</v>
      </c>
      <c r="D14" s="17">
        <f>IF(C14=0,"",B14/C14)</f>
        <v>0.76595744680851063</v>
      </c>
    </row>
    <row r="15" spans="1:4" x14ac:dyDescent="0.2">
      <c r="A15" s="13" t="s">
        <v>437</v>
      </c>
      <c r="B15" s="18">
        <f>SUM(B11:B14)</f>
        <v>190</v>
      </c>
      <c r="C15" s="18">
        <f>SUM(C11:C14)</f>
        <v>234</v>
      </c>
      <c r="D15" s="19">
        <f>IF(C15=0,"",B15/C15)</f>
        <v>0.81196581196581197</v>
      </c>
    </row>
    <row r="17" spans="1:4" ht="17" x14ac:dyDescent="0.2">
      <c r="A17" s="9" t="s">
        <v>255</v>
      </c>
    </row>
    <row r="18" spans="1:4" x14ac:dyDescent="0.2">
      <c r="A18" s="10" t="s">
        <v>433</v>
      </c>
      <c r="B18" s="20" t="s">
        <v>434</v>
      </c>
      <c r="C18" s="20" t="s">
        <v>435</v>
      </c>
      <c r="D18" s="21" t="s">
        <v>436</v>
      </c>
    </row>
    <row r="19" spans="1:4" x14ac:dyDescent="0.2">
      <c r="A19" s="11" t="s">
        <v>397</v>
      </c>
      <c r="B19" s="14" cm="1">
        <f t="array" ref="B19">SUMPRODUCT(('Hand Coded'!B$2:B$10000=A19)*(LOWER('Hand Coded'!B$2:B$10000)=LOWER(IFERROR(INDEX('claude-sonnet-4-6'!F:F,MATCH('Hand Coded'!A$2:A$10000,'claude-sonnet-4-6'!A:A,0)),""))))</f>
        <v>39</v>
      </c>
      <c r="C19" s="14">
        <f>COUNTIF('Hand Coded'!B:B,A19)</f>
        <v>47</v>
      </c>
      <c r="D19" s="15">
        <f>IF(C19=0,"",B19/C19)</f>
        <v>0.82978723404255317</v>
      </c>
    </row>
    <row r="20" spans="1:4" x14ac:dyDescent="0.2">
      <c r="A20" s="11" t="s">
        <v>382</v>
      </c>
      <c r="B20" s="14" cm="1">
        <f t="array" ref="B20">SUMPRODUCT(('Hand Coded'!B$2:B$10000=A20)*(LOWER('Hand Coded'!B$2:B$10000)=LOWER(IFERROR(INDEX('claude-sonnet-4-6'!F:F,MATCH('Hand Coded'!A$2:A$10000,'claude-sonnet-4-6'!A:A,0)),""))))</f>
        <v>36</v>
      </c>
      <c r="C20" s="14">
        <f>COUNTIF('Hand Coded'!B:B,A20)</f>
        <v>39</v>
      </c>
      <c r="D20" s="15">
        <f>IF(C20=0,"",B20/C20)</f>
        <v>0.92307692307692313</v>
      </c>
    </row>
    <row r="21" spans="1:4" x14ac:dyDescent="0.2">
      <c r="A21" s="11" t="s">
        <v>392</v>
      </c>
      <c r="B21" s="14" cm="1">
        <f t="array" ref="B21">SUMPRODUCT(('Hand Coded'!B$2:B$10000=A21)*(LOWER('Hand Coded'!B$2:B$10000)=LOWER(IFERROR(INDEX('claude-sonnet-4-6'!F:F,MATCH('Hand Coded'!A$2:A$10000,'claude-sonnet-4-6'!A:A,0)),""))))</f>
        <v>93</v>
      </c>
      <c r="C21" s="14">
        <f>COUNTIF('Hand Coded'!B:B,A21)</f>
        <v>101</v>
      </c>
      <c r="D21" s="15">
        <f>IF(C21=0,"",B21/C21)</f>
        <v>0.92079207920792083</v>
      </c>
    </row>
    <row r="22" spans="1:4" ht="16" thickBot="1" x14ac:dyDescent="0.25">
      <c r="A22" s="12" t="s">
        <v>381</v>
      </c>
      <c r="B22" s="16" cm="1">
        <f t="array" ref="B22">SUMPRODUCT(('Hand Coded'!B$2:B$10000=A22)*(LOWER('Hand Coded'!B$2:B$10000)=LOWER(IFERROR(INDEX('claude-sonnet-4-6'!F:F,MATCH('Hand Coded'!A$2:A$10000,'claude-sonnet-4-6'!A:A,0)),""))))</f>
        <v>29</v>
      </c>
      <c r="C22" s="16">
        <f>COUNTIF('Hand Coded'!B:B,A22)</f>
        <v>47</v>
      </c>
      <c r="D22" s="17">
        <f>IF(C22=0,"",B22/C22)</f>
        <v>0.61702127659574468</v>
      </c>
    </row>
    <row r="23" spans="1:4" x14ac:dyDescent="0.2">
      <c r="A23" s="13" t="s">
        <v>437</v>
      </c>
      <c r="B23" s="18">
        <f>SUM(B19:B22)</f>
        <v>197</v>
      </c>
      <c r="C23" s="18">
        <f>SUM(C19:C22)</f>
        <v>234</v>
      </c>
      <c r="D23" s="19">
        <f>IF(C23=0,"",B23/C23)</f>
        <v>0.84188034188034189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B580-C27B-5B4F-AF5E-54C396A2A3A3}">
  <dimension ref="A1:X235"/>
  <sheetViews>
    <sheetView workbookViewId="0">
      <pane ySplit="1" topLeftCell="A211" activePane="bottomLeft" state="frozen"/>
      <selection activeCell="C1" sqref="C1"/>
      <selection pane="bottomLeft" activeCell="R25" sqref="R25"/>
    </sheetView>
  </sheetViews>
  <sheetFormatPr baseColWidth="10" defaultRowHeight="15" x14ac:dyDescent="0.2"/>
  <cols>
    <col min="1" max="1" width="9.1640625" customWidth="1"/>
    <col min="2" max="5" width="21.6640625" customWidth="1"/>
    <col min="6" max="6" width="15.83203125" customWidth="1"/>
    <col min="7" max="7" width="17.5" customWidth="1"/>
    <col min="8" max="9" width="21.6640625" customWidth="1"/>
    <col min="11" max="11" width="20" customWidth="1"/>
    <col min="12" max="12" width="16.6640625" customWidth="1"/>
    <col min="13" max="13" width="9.1640625" customWidth="1"/>
    <col min="14" max="14" width="13.33203125" customWidth="1"/>
    <col min="15" max="15" width="2.5" customWidth="1"/>
    <col min="16" max="16" width="38.33203125" customWidth="1"/>
    <col min="17" max="17" width="13.33203125" customWidth="1"/>
    <col min="18" max="20" width="16.6640625" customWidth="1"/>
  </cols>
  <sheetData>
    <row r="1" spans="1:24" ht="17" x14ac:dyDescent="0.2">
      <c r="A1" s="31" t="s">
        <v>0</v>
      </c>
      <c r="B1" s="31" t="s">
        <v>441</v>
      </c>
      <c r="C1" s="31" t="s">
        <v>442</v>
      </c>
      <c r="D1" s="31" t="s">
        <v>443</v>
      </c>
      <c r="E1" s="31" t="s">
        <v>444</v>
      </c>
      <c r="F1" s="31" t="s">
        <v>445</v>
      </c>
      <c r="G1" s="31" t="s">
        <v>446</v>
      </c>
      <c r="H1" s="31" t="s">
        <v>447</v>
      </c>
      <c r="I1" s="31" t="s">
        <v>448</v>
      </c>
      <c r="J1" s="31" t="s">
        <v>467</v>
      </c>
      <c r="P1" s="32" t="s">
        <v>438</v>
      </c>
      <c r="Q1" s="23"/>
      <c r="R1" s="23"/>
      <c r="S1" s="23"/>
      <c r="V1" s="36" t="s">
        <v>473</v>
      </c>
    </row>
    <row r="2" spans="1:24" ht="16" x14ac:dyDescent="0.2">
      <c r="A2">
        <f>'Hand Coded'!A2</f>
        <v>138</v>
      </c>
      <c r="B2" t="str" cm="1">
        <f t="array" ref="B2">LOWER(TRIM(INDEX('Hand Coded'!A:G,ROW(),$W$11)))</f>
        <v>support with changes</v>
      </c>
      <c r="C2" t="str" cm="1">
        <f t="array" ref="C2">IFERROR(LOWER(TRIM(INDEX('gemini-3.1-flash-lite-preview'!A:K,MATCH(A2,'gemini-3.1-flash-lite-preview'!A:A,0),$W$12))),"NOT FOUND")</f>
        <v>support with changes</v>
      </c>
      <c r="D2" t="str" cm="1">
        <f t="array" ref="D2">IFERROR(LOWER(TRIM(INDEX('gpt-5.4-mini'!A:K,MATCH(A2,'gpt-5.4-mini'!A:A,0),$W$12))),"NOT FOUND")</f>
        <v>support with changes</v>
      </c>
      <c r="E2" t="str" cm="1">
        <f t="array" ref="E2">IFERROR(LOWER(TRIM(INDEX('claude-sonnet-4-6'!A:K,MATCH(A2,'claude-sonnet-4-6'!A:A,0),$W$12))),"NOT FOUND")</f>
        <v>support with changes</v>
      </c>
      <c r="F2" t="b">
        <f>AND(C2=D2,D2=E2)</f>
        <v>1</v>
      </c>
      <c r="G2" t="b">
        <f>IF(F2,B2=C2,"N/A")</f>
        <v>1</v>
      </c>
      <c r="H2" t="b">
        <f>AND(F2,B2&lt;&gt;C2)</f>
        <v>0</v>
      </c>
      <c r="I2" t="str">
        <f>IF(F2,C2,"No consensus")</f>
        <v>support with changes</v>
      </c>
      <c r="J2" t="str">
        <f>IF(H2,B2&amp;" → "&amp;I2,"")</f>
        <v/>
      </c>
      <c r="P2" s="24" t="s">
        <v>439</v>
      </c>
      <c r="Q2">
        <f>COUNTA(A:A)-1</f>
        <v>234</v>
      </c>
      <c r="V2" s="37" t="s">
        <v>463</v>
      </c>
      <c r="W2" s="36" t="s">
        <v>465</v>
      </c>
      <c r="X2" s="36" t="s">
        <v>466</v>
      </c>
    </row>
    <row r="3" spans="1:24" x14ac:dyDescent="0.2">
      <c r="A3">
        <f>'Hand Coded'!A3</f>
        <v>241</v>
      </c>
      <c r="B3" t="str" cm="1">
        <f t="array" ref="B3">LOWER(TRIM(INDEX('Hand Coded'!A:G,ROW(),$W$11)))</f>
        <v>support with changes</v>
      </c>
      <c r="C3" t="str" cm="1">
        <f t="array" ref="C3">IFERROR(LOWER(TRIM(INDEX('gemini-3.1-flash-lite-preview'!A:K,MATCH(A3,'gemini-3.1-flash-lite-preview'!A:A,0),$W$12))),"NOT FOUND")</f>
        <v>support with changes</v>
      </c>
      <c r="D3" t="str" cm="1">
        <f t="array" ref="D3">IFERROR(LOWER(TRIM(INDEX('gpt-5.4-mini'!A:K,MATCH(A3,'gpt-5.4-mini'!A:A,0),$W$12))),"NOT FOUND")</f>
        <v>support with changes</v>
      </c>
      <c r="E3" t="str" cm="1">
        <f t="array" ref="E3">IFERROR(LOWER(TRIM(INDEX('claude-sonnet-4-6'!A:K,MATCH(A3,'claude-sonnet-4-6'!A:A,0),$W$12))),"NOT FOUND")</f>
        <v>support with changes</v>
      </c>
      <c r="F3" t="b">
        <f t="shared" ref="F3:F66" si="0">AND(C3=D3,D3=E3)</f>
        <v>1</v>
      </c>
      <c r="G3" t="b">
        <f t="shared" ref="G3:G66" si="1">IF(F3,B3=C3,"N/A")</f>
        <v>1</v>
      </c>
      <c r="H3" t="b">
        <f t="shared" ref="H3:H66" si="2">AND(F3,B3&lt;&gt;C3)</f>
        <v>0</v>
      </c>
      <c r="I3" t="str">
        <f t="shared" ref="I3:I66" si="3">IF(F3,C3,"No consensus")</f>
        <v>support with changes</v>
      </c>
      <c r="J3" t="str">
        <f t="shared" ref="J3:J66" si="4">IF(H3,B3&amp;" → "&amp;I3,"")</f>
        <v/>
      </c>
      <c r="P3" s="24" t="s">
        <v>449</v>
      </c>
      <c r="Q3">
        <f>COUNTIF(F:F,TRUE)</f>
        <v>183</v>
      </c>
      <c r="R3" s="25">
        <f>Q3/Q2</f>
        <v>0.78205128205128205</v>
      </c>
      <c r="V3" t="s">
        <v>463</v>
      </c>
      <c r="W3">
        <v>2</v>
      </c>
      <c r="X3">
        <v>6</v>
      </c>
    </row>
    <row r="4" spans="1:24" x14ac:dyDescent="0.2">
      <c r="A4">
        <f>'Hand Coded'!A4</f>
        <v>259</v>
      </c>
      <c r="B4" t="str" cm="1">
        <f t="array" ref="B4">LOWER(TRIM(INDEX('Hand Coded'!A:G,ROW(),$W$11)))</f>
        <v>neutral</v>
      </c>
      <c r="C4" t="str" cm="1">
        <f t="array" ref="C4">IFERROR(LOWER(TRIM(INDEX('gemini-3.1-flash-lite-preview'!A:K,MATCH(A4,'gemini-3.1-flash-lite-preview'!A:A,0),$W$12))),"NOT FOUND")</f>
        <v>support</v>
      </c>
      <c r="D4" t="str" cm="1">
        <f t="array" ref="D4">IFERROR(LOWER(TRIM(INDEX('gpt-5.4-mini'!A:K,MATCH(A4,'gpt-5.4-mini'!A:A,0),$W$12))),"NOT FOUND")</f>
        <v>support with changes</v>
      </c>
      <c r="E4" t="str" cm="1">
        <f t="array" ref="E4">IFERROR(LOWER(TRIM(INDEX('claude-sonnet-4-6'!A:K,MATCH(A4,'claude-sonnet-4-6'!A:A,0),$W$12))),"NOT FOUND")</f>
        <v>support</v>
      </c>
      <c r="F4" t="b">
        <f t="shared" si="0"/>
        <v>0</v>
      </c>
      <c r="G4" t="str">
        <f t="shared" si="1"/>
        <v>N/A</v>
      </c>
      <c r="H4" t="b">
        <f t="shared" si="2"/>
        <v>0</v>
      </c>
      <c r="I4" t="str">
        <f t="shared" si="3"/>
        <v>No consensus</v>
      </c>
      <c r="J4" t="str">
        <f t="shared" si="4"/>
        <v/>
      </c>
      <c r="P4" s="24" t="s">
        <v>450</v>
      </c>
      <c r="Q4">
        <f>COUNTIF(G:G,TRUE)</f>
        <v>172</v>
      </c>
      <c r="R4" s="25">
        <f>Q4/Q3</f>
        <v>0.93989071038251371</v>
      </c>
      <c r="V4" t="s">
        <v>383</v>
      </c>
      <c r="W4">
        <v>3</v>
      </c>
      <c r="X4">
        <v>11</v>
      </c>
    </row>
    <row r="5" spans="1:24" x14ac:dyDescent="0.2">
      <c r="A5">
        <f>'Hand Coded'!A5</f>
        <v>264</v>
      </c>
      <c r="B5" t="str" cm="1">
        <f t="array" ref="B5">LOWER(TRIM(INDEX('Hand Coded'!A:G,ROW(),$W$11)))</f>
        <v>oppose</v>
      </c>
      <c r="C5" t="str" cm="1">
        <f t="array" ref="C5">IFERROR(LOWER(TRIM(INDEX('gemini-3.1-flash-lite-preview'!A:K,MATCH(A5,'gemini-3.1-flash-lite-preview'!A:A,0),$W$12))),"NOT FOUND")</f>
        <v>support with changes</v>
      </c>
      <c r="D5" t="str" cm="1">
        <f t="array" ref="D5">IFERROR(LOWER(TRIM(INDEX('gpt-5.4-mini'!A:K,MATCH(A5,'gpt-5.4-mini'!A:A,0),$W$12))),"NOT FOUND")</f>
        <v>oppose</v>
      </c>
      <c r="E5" t="str" cm="1">
        <f t="array" ref="E5">IFERROR(LOWER(TRIM(INDEX('claude-sonnet-4-6'!A:K,MATCH(A5,'claude-sonnet-4-6'!A:A,0),$W$12))),"NOT FOUND")</f>
        <v>oppose</v>
      </c>
      <c r="F5" t="b">
        <f t="shared" si="0"/>
        <v>0</v>
      </c>
      <c r="G5" t="str">
        <f t="shared" si="1"/>
        <v>N/A</v>
      </c>
      <c r="H5" t="b">
        <f t="shared" si="2"/>
        <v>0</v>
      </c>
      <c r="I5" t="str">
        <f t="shared" si="3"/>
        <v>No consensus</v>
      </c>
      <c r="J5" t="str">
        <f t="shared" si="4"/>
        <v/>
      </c>
      <c r="P5" s="26" t="s">
        <v>451</v>
      </c>
      <c r="Q5">
        <f>COUNTIF(H:H,TRUE)</f>
        <v>11</v>
      </c>
      <c r="R5" s="25">
        <f>Q5/Q2</f>
        <v>4.7008547008547008E-2</v>
      </c>
      <c r="V5" t="s">
        <v>384</v>
      </c>
      <c r="W5">
        <v>4</v>
      </c>
      <c r="X5">
        <v>7</v>
      </c>
    </row>
    <row r="6" spans="1:24" x14ac:dyDescent="0.2">
      <c r="A6">
        <f>'Hand Coded'!A6</f>
        <v>273</v>
      </c>
      <c r="B6" t="str" cm="1">
        <f t="array" ref="B6">LOWER(TRIM(INDEX('Hand Coded'!A:G,ROW(),$W$11)))</f>
        <v>neutral</v>
      </c>
      <c r="C6" t="str" cm="1">
        <f t="array" ref="C6">IFERROR(LOWER(TRIM(INDEX('gemini-3.1-flash-lite-preview'!A:K,MATCH(A6,'gemini-3.1-flash-lite-preview'!A:A,0),$W$12))),"NOT FOUND")</f>
        <v>neutral</v>
      </c>
      <c r="D6" t="str" cm="1">
        <f t="array" ref="D6">IFERROR(LOWER(TRIM(INDEX('gpt-5.4-mini'!A:K,MATCH(A6,'gpt-5.4-mini'!A:A,0),$W$12))),"NOT FOUND")</f>
        <v>neutral</v>
      </c>
      <c r="E6" t="str" cm="1">
        <f t="array" ref="E6">IFERROR(LOWER(TRIM(INDEX('claude-sonnet-4-6'!A:K,MATCH(A6,'claude-sonnet-4-6'!A:A,0),$W$12))),"NOT FOUND")</f>
        <v>support with changes</v>
      </c>
      <c r="F6" t="b">
        <f t="shared" si="0"/>
        <v>0</v>
      </c>
      <c r="G6" t="str">
        <f t="shared" si="1"/>
        <v>N/A</v>
      </c>
      <c r="H6" t="b">
        <f t="shared" si="2"/>
        <v>0</v>
      </c>
      <c r="I6" t="str">
        <f t="shared" si="3"/>
        <v>No consensus</v>
      </c>
      <c r="J6" t="str">
        <f t="shared" si="4"/>
        <v/>
      </c>
      <c r="V6" t="s">
        <v>385</v>
      </c>
      <c r="W6">
        <v>5</v>
      </c>
      <c r="X6">
        <v>8</v>
      </c>
    </row>
    <row r="7" spans="1:24" ht="16" x14ac:dyDescent="0.2">
      <c r="A7">
        <f>'Hand Coded'!A7</f>
        <v>383</v>
      </c>
      <c r="B7" t="str" cm="1">
        <f t="array" ref="B7">LOWER(TRIM(INDEX('Hand Coded'!A:G,ROW(),$W$11)))</f>
        <v>support with changes</v>
      </c>
      <c r="C7" t="str" cm="1">
        <f t="array" ref="C7">IFERROR(LOWER(TRIM(INDEX('gemini-3.1-flash-lite-preview'!A:K,MATCH(A7,'gemini-3.1-flash-lite-preview'!A:A,0),$W$12))),"NOT FOUND")</f>
        <v>support with changes</v>
      </c>
      <c r="D7" t="str" cm="1">
        <f t="array" ref="D7">IFERROR(LOWER(TRIM(INDEX('gpt-5.4-mini'!A:K,MATCH(A7,'gpt-5.4-mini'!A:A,0),$W$12))),"NOT FOUND")</f>
        <v>support with changes</v>
      </c>
      <c r="E7" t="str" cm="1">
        <f t="array" ref="E7">IFERROR(LOWER(TRIM(INDEX('claude-sonnet-4-6'!A:K,MATCH(A7,'claude-sonnet-4-6'!A:A,0),$W$12))),"NOT FOUND")</f>
        <v>support with changes</v>
      </c>
      <c r="F7" t="b">
        <f t="shared" si="0"/>
        <v>1</v>
      </c>
      <c r="G7" t="b">
        <f t="shared" si="1"/>
        <v>1</v>
      </c>
      <c r="H7" t="b">
        <f t="shared" si="2"/>
        <v>0</v>
      </c>
      <c r="I7" t="str">
        <f t="shared" si="3"/>
        <v>support with changes</v>
      </c>
      <c r="J7" t="str">
        <f t="shared" si="4"/>
        <v/>
      </c>
      <c r="P7" s="22" t="s">
        <v>468</v>
      </c>
      <c r="Q7" s="23"/>
      <c r="R7" s="23"/>
      <c r="S7" s="23"/>
      <c r="V7" t="s">
        <v>386</v>
      </c>
      <c r="W7">
        <v>6</v>
      </c>
      <c r="X7">
        <v>9</v>
      </c>
    </row>
    <row r="8" spans="1:24" x14ac:dyDescent="0.2">
      <c r="A8">
        <f>'Hand Coded'!A8</f>
        <v>416</v>
      </c>
      <c r="B8" t="str" cm="1">
        <f t="array" ref="B8">LOWER(TRIM(INDEX('Hand Coded'!A:G,ROW(),$W$11)))</f>
        <v>support with changes</v>
      </c>
      <c r="C8" t="str" cm="1">
        <f t="array" ref="C8">IFERROR(LOWER(TRIM(INDEX('gemini-3.1-flash-lite-preview'!A:K,MATCH(A8,'gemini-3.1-flash-lite-preview'!A:A,0),$W$12))),"NOT FOUND")</f>
        <v>support with changes</v>
      </c>
      <c r="D8" t="str" cm="1">
        <f t="array" ref="D8">IFERROR(LOWER(TRIM(INDEX('gpt-5.4-mini'!A:K,MATCH(A8,'gpt-5.4-mini'!A:A,0),$W$12))),"NOT FOUND")</f>
        <v>support with changes</v>
      </c>
      <c r="E8" t="str" cm="1">
        <f t="array" ref="E8">IFERROR(LOWER(TRIM(INDEX('claude-sonnet-4-6'!A:K,MATCH(A8,'claude-sonnet-4-6'!A:A,0),$W$12))),"NOT FOUND")</f>
        <v>support with changes</v>
      </c>
      <c r="F8" t="b">
        <f t="shared" si="0"/>
        <v>1</v>
      </c>
      <c r="G8" t="b">
        <f t="shared" si="1"/>
        <v>1</v>
      </c>
      <c r="H8" t="b">
        <f t="shared" si="2"/>
        <v>0</v>
      </c>
      <c r="I8" t="str">
        <f t="shared" si="3"/>
        <v>support with changes</v>
      </c>
      <c r="J8" t="str">
        <f t="shared" si="4"/>
        <v/>
      </c>
      <c r="P8" s="27" t="s">
        <v>469</v>
      </c>
      <c r="Q8" s="28" t="s">
        <v>440</v>
      </c>
      <c r="R8" s="28" t="s">
        <v>454</v>
      </c>
      <c r="V8" t="s">
        <v>387</v>
      </c>
      <c r="W8">
        <v>7</v>
      </c>
      <c r="X8">
        <v>10</v>
      </c>
    </row>
    <row r="9" spans="1:24" x14ac:dyDescent="0.2">
      <c r="A9">
        <f>'Hand Coded'!A9</f>
        <v>474</v>
      </c>
      <c r="B9" t="str" cm="1">
        <f t="array" ref="B9">LOWER(TRIM(INDEX('Hand Coded'!A:G,ROW(),$W$11)))</f>
        <v>neutral</v>
      </c>
      <c r="C9" t="str" cm="1">
        <f t="array" ref="C9">IFERROR(LOWER(TRIM(INDEX('gemini-3.1-flash-lite-preview'!A:K,MATCH(A9,'gemini-3.1-flash-lite-preview'!A:A,0),$W$12))),"NOT FOUND")</f>
        <v>neutral</v>
      </c>
      <c r="D9" t="str" cm="1">
        <f t="array" ref="D9">IFERROR(LOWER(TRIM(INDEX('gpt-5.4-mini'!A:K,MATCH(A9,'gpt-5.4-mini'!A:A,0),$W$12))),"NOT FOUND")</f>
        <v>neutral</v>
      </c>
      <c r="E9" t="str" cm="1">
        <f t="array" ref="E9">IFERROR(LOWER(TRIM(INDEX('claude-sonnet-4-6'!A:K,MATCH(A9,'claude-sonnet-4-6'!A:A,0),$W$12))),"NOT FOUND")</f>
        <v>support</v>
      </c>
      <c r="F9" t="b">
        <f t="shared" si="0"/>
        <v>0</v>
      </c>
      <c r="G9" t="str">
        <f t="shared" si="1"/>
        <v>N/A</v>
      </c>
      <c r="H9" t="b">
        <f t="shared" si="2"/>
        <v>0</v>
      </c>
      <c r="I9" t="str">
        <f t="shared" si="3"/>
        <v>No consensus</v>
      </c>
      <c r="J9" t="str">
        <f t="shared" si="4"/>
        <v/>
      </c>
      <c r="P9" t="str" cm="1">
        <f t="array" ref="P9">IFERROR(INDEX(_xlfn._xlws.SORT(_xlfn.UNIQUE(_xlfn._xlws.FILTER($J$2:$J$5000,$J$2:$J$5000&lt;&gt;"")),1,1),ROW()-8),"")</f>
        <v>neutral → oppose</v>
      </c>
      <c r="Q9">
        <f>IF(P9="","",COUNTIF($J$2:$J$5000,P9))</f>
        <v>3</v>
      </c>
      <c r="R9" s="30">
        <f>IF(P9="","",Q9/$Q$5)</f>
        <v>0.27272727272727271</v>
      </c>
    </row>
    <row r="10" spans="1:24" x14ac:dyDescent="0.2">
      <c r="A10">
        <f>'Hand Coded'!A10</f>
        <v>516</v>
      </c>
      <c r="B10" t="str" cm="1">
        <f t="array" ref="B10">LOWER(TRIM(INDEX('Hand Coded'!A:G,ROW(),$W$11)))</f>
        <v>support with changes</v>
      </c>
      <c r="C10" t="str" cm="1">
        <f t="array" ref="C10">IFERROR(LOWER(TRIM(INDEX('gemini-3.1-flash-lite-preview'!A:K,MATCH(A10,'gemini-3.1-flash-lite-preview'!A:A,0),$W$12))),"NOT FOUND")</f>
        <v>support with changes</v>
      </c>
      <c r="D10" t="str" cm="1">
        <f t="array" ref="D10">IFERROR(LOWER(TRIM(INDEX('gpt-5.4-mini'!A:K,MATCH(A10,'gpt-5.4-mini'!A:A,0),$W$12))),"NOT FOUND")</f>
        <v>support with changes</v>
      </c>
      <c r="E10" t="str" cm="1">
        <f t="array" ref="E10">IFERROR(LOWER(TRIM(INDEX('claude-sonnet-4-6'!A:K,MATCH(A10,'claude-sonnet-4-6'!A:A,0),$W$12))),"NOT FOUND")</f>
        <v>support with changes</v>
      </c>
      <c r="F10" t="b">
        <f t="shared" si="0"/>
        <v>1</v>
      </c>
      <c r="G10" t="b">
        <f t="shared" si="1"/>
        <v>1</v>
      </c>
      <c r="H10" t="b">
        <f t="shared" si="2"/>
        <v>0</v>
      </c>
      <c r="I10" t="str">
        <f t="shared" si="3"/>
        <v>support with changes</v>
      </c>
      <c r="J10" t="str">
        <f t="shared" si="4"/>
        <v/>
      </c>
      <c r="P10" t="str" cm="1">
        <f t="array" ref="P10">IFERROR(INDEX(_xlfn._xlws.SORT(_xlfn.UNIQUE(_xlfn._xlws.FILTER($J$2:$J$5000,$J$2:$J$5000&lt;&gt;"")),1,1),ROW()-8),"")</f>
        <v>neutral → support with changes</v>
      </c>
      <c r="Q10">
        <f t="shared" ref="Q10:Q38" si="5">IF(P10="","",COUNTIF($J$2:$J$5000,P10))</f>
        <v>1</v>
      </c>
      <c r="R10" s="30">
        <f t="shared" ref="R10:R38" si="6">IF(P10="","",Q10/$Q$5)</f>
        <v>9.0909090909090912E-2</v>
      </c>
      <c r="V10" s="36" t="s">
        <v>464</v>
      </c>
    </row>
    <row r="11" spans="1:24" x14ac:dyDescent="0.2">
      <c r="A11">
        <f>'Hand Coded'!A11</f>
        <v>729</v>
      </c>
      <c r="B11" t="str" cm="1">
        <f t="array" ref="B11">LOWER(TRIM(INDEX('Hand Coded'!A:G,ROW(),$W$11)))</f>
        <v>neutral</v>
      </c>
      <c r="C11" t="str" cm="1">
        <f t="array" ref="C11">IFERROR(LOWER(TRIM(INDEX('gemini-3.1-flash-lite-preview'!A:K,MATCH(A11,'gemini-3.1-flash-lite-preview'!A:A,0),$W$12))),"NOT FOUND")</f>
        <v>neutral</v>
      </c>
      <c r="D11" t="str" cm="1">
        <f t="array" ref="D11">IFERROR(LOWER(TRIM(INDEX('gpt-5.4-mini'!A:K,MATCH(A11,'gpt-5.4-mini'!A:A,0),$W$12))),"NOT FOUND")</f>
        <v>neutral</v>
      </c>
      <c r="E11" t="str" cm="1">
        <f t="array" ref="E11">IFERROR(LOWER(TRIM(INDEX('claude-sonnet-4-6'!A:K,MATCH(A11,'claude-sonnet-4-6'!A:A,0),$W$12))),"NOT FOUND")</f>
        <v>neutral</v>
      </c>
      <c r="F11" t="b">
        <f t="shared" si="0"/>
        <v>1</v>
      </c>
      <c r="G11" t="b">
        <f t="shared" si="1"/>
        <v>1</v>
      </c>
      <c r="H11" t="b">
        <f t="shared" si="2"/>
        <v>0</v>
      </c>
      <c r="I11" t="str">
        <f t="shared" si="3"/>
        <v>neutral</v>
      </c>
      <c r="J11" t="str">
        <f t="shared" si="4"/>
        <v/>
      </c>
      <c r="P11" t="str" cm="1">
        <f t="array" ref="P11">IFERROR(INDEX(_xlfn._xlws.SORT(_xlfn.UNIQUE(_xlfn._xlws.FILTER($J$2:$J$5000,$J$2:$J$5000&lt;&gt;"")),1,1),ROW()-8),"")</f>
        <v>oppose → neutral</v>
      </c>
      <c r="Q11">
        <f t="shared" si="5"/>
        <v>1</v>
      </c>
      <c r="R11" s="30">
        <f t="shared" si="6"/>
        <v>9.0909090909090912E-2</v>
      </c>
      <c r="V11" s="35" t="s">
        <v>465</v>
      </c>
      <c r="W11">
        <f>_xlfn.XLOOKUP($V$2,$V$3:$V$8,W3:W8)</f>
        <v>2</v>
      </c>
    </row>
    <row r="12" spans="1:24" x14ac:dyDescent="0.2">
      <c r="A12">
        <f>'Hand Coded'!A12</f>
        <v>761</v>
      </c>
      <c r="B12" t="str" cm="1">
        <f t="array" ref="B12">LOWER(TRIM(INDEX('Hand Coded'!A:G,ROW(),$W$11)))</f>
        <v>support</v>
      </c>
      <c r="C12" t="str" cm="1">
        <f t="array" ref="C12">IFERROR(LOWER(TRIM(INDEX('gemini-3.1-flash-lite-preview'!A:K,MATCH(A12,'gemini-3.1-flash-lite-preview'!A:A,0),$W$12))),"NOT FOUND")</f>
        <v>support</v>
      </c>
      <c r="D12" t="str" cm="1">
        <f t="array" ref="D12">IFERROR(LOWER(TRIM(INDEX('gpt-5.4-mini'!A:K,MATCH(A12,'gpt-5.4-mini'!A:A,0),$W$12))),"NOT FOUND")</f>
        <v>support</v>
      </c>
      <c r="E12" t="str" cm="1">
        <f t="array" ref="E12">IFERROR(LOWER(TRIM(INDEX('claude-sonnet-4-6'!A:K,MATCH(A12,'claude-sonnet-4-6'!A:A,0),$W$12))),"NOT FOUND")</f>
        <v>support</v>
      </c>
      <c r="F12" t="b">
        <f t="shared" si="0"/>
        <v>1</v>
      </c>
      <c r="G12" t="b">
        <f t="shared" si="1"/>
        <v>1</v>
      </c>
      <c r="H12" t="b">
        <f t="shared" si="2"/>
        <v>0</v>
      </c>
      <c r="I12" t="str">
        <f t="shared" si="3"/>
        <v>support</v>
      </c>
      <c r="J12" t="str">
        <f t="shared" si="4"/>
        <v/>
      </c>
      <c r="P12" t="str" cm="1">
        <f t="array" ref="P12">IFERROR(INDEX(_xlfn._xlws.SORT(_xlfn.UNIQUE(_xlfn._xlws.FILTER($J$2:$J$5000,$J$2:$J$5000&lt;&gt;"")),1,1),ROW()-8),"")</f>
        <v>oppose → support with changes</v>
      </c>
      <c r="Q12">
        <f t="shared" si="5"/>
        <v>2</v>
      </c>
      <c r="R12" s="30">
        <f t="shared" si="6"/>
        <v>0.18181818181818182</v>
      </c>
      <c r="V12" s="35" t="s">
        <v>466</v>
      </c>
      <c r="W12">
        <f>_xlfn.XLOOKUP($V$2,$V$3:$V$8,X3:X8)</f>
        <v>6</v>
      </c>
    </row>
    <row r="13" spans="1:24" x14ac:dyDescent="0.2">
      <c r="A13">
        <f>'Hand Coded'!A13</f>
        <v>779</v>
      </c>
      <c r="B13" t="str" cm="1">
        <f t="array" ref="B13">LOWER(TRIM(INDEX('Hand Coded'!A:G,ROW(),$W$11)))</f>
        <v>oppose</v>
      </c>
      <c r="C13" t="str" cm="1">
        <f t="array" ref="C13">IFERROR(LOWER(TRIM(INDEX('gemini-3.1-flash-lite-preview'!A:K,MATCH(A13,'gemini-3.1-flash-lite-preview'!A:A,0),$W$12))),"NOT FOUND")</f>
        <v>oppose</v>
      </c>
      <c r="D13" t="str" cm="1">
        <f t="array" ref="D13">IFERROR(LOWER(TRIM(INDEX('gpt-5.4-mini'!A:K,MATCH(A13,'gpt-5.4-mini'!A:A,0),$W$12))),"NOT FOUND")</f>
        <v>oppose</v>
      </c>
      <c r="E13" t="str" cm="1">
        <f t="array" ref="E13">IFERROR(LOWER(TRIM(INDEX('claude-sonnet-4-6'!A:K,MATCH(A13,'claude-sonnet-4-6'!A:A,0),$W$12))),"NOT FOUND")</f>
        <v>oppose</v>
      </c>
      <c r="F13" t="b">
        <f t="shared" si="0"/>
        <v>1</v>
      </c>
      <c r="G13" t="b">
        <f t="shared" si="1"/>
        <v>1</v>
      </c>
      <c r="H13" t="b">
        <f t="shared" si="2"/>
        <v>0</v>
      </c>
      <c r="I13" t="str">
        <f t="shared" si="3"/>
        <v>oppose</v>
      </c>
      <c r="J13" t="str">
        <f t="shared" si="4"/>
        <v/>
      </c>
      <c r="P13" t="str" cm="1">
        <f t="array" ref="P13">IFERROR(INDEX(_xlfn._xlws.SORT(_xlfn.UNIQUE(_xlfn._xlws.FILTER($J$2:$J$5000,$J$2:$J$5000&lt;&gt;"")),1,1),ROW()-8),"")</f>
        <v>support → neutral</v>
      </c>
      <c r="Q13">
        <f t="shared" si="5"/>
        <v>1</v>
      </c>
      <c r="R13" s="30">
        <f t="shared" si="6"/>
        <v>9.0909090909090912E-2</v>
      </c>
    </row>
    <row r="14" spans="1:24" x14ac:dyDescent="0.2">
      <c r="A14">
        <f>'Hand Coded'!A14</f>
        <v>837</v>
      </c>
      <c r="B14" t="str" cm="1">
        <f t="array" ref="B14">LOWER(TRIM(INDEX('Hand Coded'!A:G,ROW(),$W$11)))</f>
        <v>neutral</v>
      </c>
      <c r="C14" t="str" cm="1">
        <f t="array" ref="C14">IFERROR(LOWER(TRIM(INDEX('gemini-3.1-flash-lite-preview'!A:K,MATCH(A14,'gemini-3.1-flash-lite-preview'!A:A,0),$W$12))),"NOT FOUND")</f>
        <v>support with changes</v>
      </c>
      <c r="D14" t="str" cm="1">
        <f t="array" ref="D14">IFERROR(LOWER(TRIM(INDEX('gpt-5.4-mini'!A:K,MATCH(A14,'gpt-5.4-mini'!A:A,0),$W$12))),"NOT FOUND")</f>
        <v>neutral</v>
      </c>
      <c r="E14" t="str" cm="1">
        <f t="array" ref="E14">IFERROR(LOWER(TRIM(INDEX('claude-sonnet-4-6'!A:K,MATCH(A14,'claude-sonnet-4-6'!A:A,0),$W$12))),"NOT FOUND")</f>
        <v>neutral</v>
      </c>
      <c r="F14" t="b">
        <f t="shared" si="0"/>
        <v>0</v>
      </c>
      <c r="G14" t="str">
        <f t="shared" si="1"/>
        <v>N/A</v>
      </c>
      <c r="H14" t="b">
        <f t="shared" si="2"/>
        <v>0</v>
      </c>
      <c r="I14" t="str">
        <f t="shared" si="3"/>
        <v>No consensus</v>
      </c>
      <c r="J14" t="str">
        <f t="shared" si="4"/>
        <v/>
      </c>
      <c r="P14" t="str" cm="1">
        <f t="array" ref="P14">IFERROR(INDEX(_xlfn._xlws.SORT(_xlfn.UNIQUE(_xlfn._xlws.FILTER($J$2:$J$5000,$J$2:$J$5000&lt;&gt;"")),1,1),ROW()-8),"")</f>
        <v>support → oppose</v>
      </c>
      <c r="Q14">
        <f t="shared" si="5"/>
        <v>1</v>
      </c>
      <c r="R14" s="30">
        <f t="shared" si="6"/>
        <v>9.0909090909090912E-2</v>
      </c>
    </row>
    <row r="15" spans="1:24" x14ac:dyDescent="0.2">
      <c r="A15">
        <f>'Hand Coded'!A15</f>
        <v>877</v>
      </c>
      <c r="B15" t="str" cm="1">
        <f t="array" ref="B15">LOWER(TRIM(INDEX('Hand Coded'!A:G,ROW(),$W$11)))</f>
        <v>neutral</v>
      </c>
      <c r="C15" t="str" cm="1">
        <f t="array" ref="C15">IFERROR(LOWER(TRIM(INDEX('gemini-3.1-flash-lite-preview'!A:K,MATCH(A15,'gemini-3.1-flash-lite-preview'!A:A,0),$W$12))),"NOT FOUND")</f>
        <v>neutral</v>
      </c>
      <c r="D15" t="str" cm="1">
        <f t="array" ref="D15">IFERROR(LOWER(TRIM(INDEX('gpt-5.4-mini'!A:K,MATCH(A15,'gpt-5.4-mini'!A:A,0),$W$12))),"NOT FOUND")</f>
        <v>neutral</v>
      </c>
      <c r="E15" t="str" cm="1">
        <f t="array" ref="E15">IFERROR(LOWER(TRIM(INDEX('claude-sonnet-4-6'!A:K,MATCH(A15,'claude-sonnet-4-6'!A:A,0),$W$12))),"NOT FOUND")</f>
        <v>neutral</v>
      </c>
      <c r="F15" t="b">
        <f t="shared" si="0"/>
        <v>1</v>
      </c>
      <c r="G15" t="b">
        <f t="shared" si="1"/>
        <v>1</v>
      </c>
      <c r="H15" t="b">
        <f t="shared" si="2"/>
        <v>0</v>
      </c>
      <c r="I15" t="str">
        <f t="shared" si="3"/>
        <v>neutral</v>
      </c>
      <c r="J15" t="str">
        <f t="shared" si="4"/>
        <v/>
      </c>
      <c r="P15" t="str" cm="1">
        <f t="array" ref="P15">IFERROR(INDEX(_xlfn._xlws.SORT(_xlfn.UNIQUE(_xlfn._xlws.FILTER($J$2:$J$5000,$J$2:$J$5000&lt;&gt;"")),1,1),ROW()-8),"")</f>
        <v>support → support with changes</v>
      </c>
      <c r="Q15">
        <f t="shared" si="5"/>
        <v>2</v>
      </c>
      <c r="R15" s="30">
        <f t="shared" si="6"/>
        <v>0.18181818181818182</v>
      </c>
    </row>
    <row r="16" spans="1:24" x14ac:dyDescent="0.2">
      <c r="A16">
        <f>'Hand Coded'!A16</f>
        <v>896</v>
      </c>
      <c r="B16" t="str" cm="1">
        <f t="array" ref="B16">LOWER(TRIM(INDEX('Hand Coded'!A:G,ROW(),$W$11)))</f>
        <v>neutral</v>
      </c>
      <c r="C16" t="str" cm="1">
        <f t="array" ref="C16">IFERROR(LOWER(TRIM(INDEX('gemini-3.1-flash-lite-preview'!A:K,MATCH(A16,'gemini-3.1-flash-lite-preview'!A:A,0),$W$12))),"NOT FOUND")</f>
        <v>oppose</v>
      </c>
      <c r="D16" t="str" cm="1">
        <f t="array" ref="D16">IFERROR(LOWER(TRIM(INDEX('gpt-5.4-mini'!A:K,MATCH(A16,'gpt-5.4-mini'!A:A,0),$W$12))),"NOT FOUND")</f>
        <v>neutral</v>
      </c>
      <c r="E16" t="str" cm="1">
        <f t="array" ref="E16">IFERROR(LOWER(TRIM(INDEX('claude-sonnet-4-6'!A:K,MATCH(A16,'claude-sonnet-4-6'!A:A,0),$W$12))),"NOT FOUND")</f>
        <v>support</v>
      </c>
      <c r="F16" t="b">
        <f t="shared" si="0"/>
        <v>0</v>
      </c>
      <c r="G16" t="str">
        <f t="shared" si="1"/>
        <v>N/A</v>
      </c>
      <c r="H16" t="b">
        <f t="shared" si="2"/>
        <v>0</v>
      </c>
      <c r="I16" t="str">
        <f t="shared" si="3"/>
        <v>No consensus</v>
      </c>
      <c r="J16" t="str">
        <f t="shared" si="4"/>
        <v/>
      </c>
      <c r="P16" t="str" cm="1">
        <f t="array" ref="P16">IFERROR(INDEX(_xlfn._xlws.SORT(_xlfn.UNIQUE(_xlfn._xlws.FILTER($J$2:$J$5000,$J$2:$J$5000&lt;&gt;"")),1,1),ROW()-8),"")</f>
        <v/>
      </c>
      <c r="Q16" t="str">
        <f t="shared" si="5"/>
        <v/>
      </c>
      <c r="R16" s="30" t="str">
        <f t="shared" si="6"/>
        <v/>
      </c>
    </row>
    <row r="17" spans="1:21" x14ac:dyDescent="0.2">
      <c r="A17">
        <f>'Hand Coded'!A17</f>
        <v>923</v>
      </c>
      <c r="B17" t="str" cm="1">
        <f t="array" ref="B17">LOWER(TRIM(INDEX('Hand Coded'!A:G,ROW(),$W$11)))</f>
        <v>oppose</v>
      </c>
      <c r="C17" t="str" cm="1">
        <f t="array" ref="C17">IFERROR(LOWER(TRIM(INDEX('gemini-3.1-flash-lite-preview'!A:K,MATCH(A17,'gemini-3.1-flash-lite-preview'!A:A,0),$W$12))),"NOT FOUND")</f>
        <v>oppose</v>
      </c>
      <c r="D17" t="str" cm="1">
        <f t="array" ref="D17">IFERROR(LOWER(TRIM(INDEX('gpt-5.4-mini'!A:K,MATCH(A17,'gpt-5.4-mini'!A:A,0),$W$12))),"NOT FOUND")</f>
        <v>oppose</v>
      </c>
      <c r="E17" t="str" cm="1">
        <f t="array" ref="E17">IFERROR(LOWER(TRIM(INDEX('claude-sonnet-4-6'!A:K,MATCH(A17,'claude-sonnet-4-6'!A:A,0),$W$12))),"NOT FOUND")</f>
        <v>oppose</v>
      </c>
      <c r="F17" t="b">
        <f t="shared" si="0"/>
        <v>1</v>
      </c>
      <c r="G17" t="b">
        <f t="shared" si="1"/>
        <v>1</v>
      </c>
      <c r="H17" t="b">
        <f t="shared" si="2"/>
        <v>0</v>
      </c>
      <c r="I17" t="str">
        <f t="shared" si="3"/>
        <v>oppose</v>
      </c>
      <c r="J17" t="str">
        <f t="shared" si="4"/>
        <v/>
      </c>
      <c r="P17" t="str" cm="1">
        <f t="array" ref="P17">IFERROR(INDEX(_xlfn._xlws.SORT(_xlfn.UNIQUE(_xlfn._xlws.FILTER($J$2:$J$5000,$J$2:$J$5000&lt;&gt;"")),1,1),ROW()-8),"")</f>
        <v/>
      </c>
      <c r="Q17" t="str">
        <f t="shared" si="5"/>
        <v/>
      </c>
      <c r="R17" s="30" t="str">
        <f t="shared" si="6"/>
        <v/>
      </c>
    </row>
    <row r="18" spans="1:21" x14ac:dyDescent="0.2">
      <c r="A18">
        <f>'Hand Coded'!A18</f>
        <v>940</v>
      </c>
      <c r="B18" t="str" cm="1">
        <f t="array" ref="B18">LOWER(TRIM(INDEX('Hand Coded'!A:G,ROW(),$W$11)))</f>
        <v>oppose</v>
      </c>
      <c r="C18" t="str" cm="1">
        <f t="array" ref="C18">IFERROR(LOWER(TRIM(INDEX('gemini-3.1-flash-lite-preview'!A:K,MATCH(A18,'gemini-3.1-flash-lite-preview'!A:A,0),$W$12))),"NOT FOUND")</f>
        <v>oppose</v>
      </c>
      <c r="D18" t="str" cm="1">
        <f t="array" ref="D18">IFERROR(LOWER(TRIM(INDEX('gpt-5.4-mini'!A:K,MATCH(A18,'gpt-5.4-mini'!A:A,0),$W$12))),"NOT FOUND")</f>
        <v>oppose</v>
      </c>
      <c r="E18" t="str" cm="1">
        <f t="array" ref="E18">IFERROR(LOWER(TRIM(INDEX('claude-sonnet-4-6'!A:K,MATCH(A18,'claude-sonnet-4-6'!A:A,0),$W$12))),"NOT FOUND")</f>
        <v>oppose</v>
      </c>
      <c r="F18" t="b">
        <f t="shared" si="0"/>
        <v>1</v>
      </c>
      <c r="G18" t="b">
        <f t="shared" si="1"/>
        <v>1</v>
      </c>
      <c r="H18" t="b">
        <f t="shared" si="2"/>
        <v>0</v>
      </c>
      <c r="I18" t="str">
        <f t="shared" si="3"/>
        <v>oppose</v>
      </c>
      <c r="J18" t="str">
        <f t="shared" si="4"/>
        <v/>
      </c>
      <c r="P18" t="str" cm="1">
        <f t="array" ref="P18">IFERROR(INDEX(_xlfn._xlws.SORT(_xlfn.UNIQUE(_xlfn._xlws.FILTER($J$2:$J$5000,$J$2:$J$5000&lt;&gt;"")),1,1),ROW()-8),"")</f>
        <v/>
      </c>
      <c r="Q18" t="str">
        <f t="shared" si="5"/>
        <v/>
      </c>
      <c r="R18" s="30" t="str">
        <f t="shared" si="6"/>
        <v/>
      </c>
    </row>
    <row r="19" spans="1:21" ht="16" x14ac:dyDescent="0.2">
      <c r="A19">
        <f>'Hand Coded'!A19</f>
        <v>951</v>
      </c>
      <c r="B19" t="str" cm="1">
        <f t="array" ref="B19">LOWER(TRIM(INDEX('Hand Coded'!A:G,ROW(),$W$11)))</f>
        <v>oppose</v>
      </c>
      <c r="C19" t="str" cm="1">
        <f t="array" ref="C19">IFERROR(LOWER(TRIM(INDEX('gemini-3.1-flash-lite-preview'!A:K,MATCH(A19,'gemini-3.1-flash-lite-preview'!A:A,0),$W$12))),"NOT FOUND")</f>
        <v>oppose</v>
      </c>
      <c r="D19" t="str" cm="1">
        <f t="array" ref="D19">IFERROR(LOWER(TRIM(INDEX('gpt-5.4-mini'!A:K,MATCH(A19,'gpt-5.4-mini'!A:A,0),$W$12))),"NOT FOUND")</f>
        <v>oppose</v>
      </c>
      <c r="E19" t="str" cm="1">
        <f t="array" ref="E19">IFERROR(LOWER(TRIM(INDEX('claude-sonnet-4-6'!A:K,MATCH(A19,'claude-sonnet-4-6'!A:A,0),$W$12))),"NOT FOUND")</f>
        <v>oppose</v>
      </c>
      <c r="F19" t="b">
        <f t="shared" si="0"/>
        <v>1</v>
      </c>
      <c r="G19" t="b">
        <f t="shared" si="1"/>
        <v>1</v>
      </c>
      <c r="H19" t="b">
        <f t="shared" si="2"/>
        <v>0</v>
      </c>
      <c r="I19" t="str">
        <f t="shared" si="3"/>
        <v>oppose</v>
      </c>
      <c r="J19" t="str">
        <f t="shared" si="4"/>
        <v/>
      </c>
      <c r="P19" s="22"/>
      <c r="Q19" s="23"/>
      <c r="R19" s="38"/>
      <c r="S19" s="23"/>
      <c r="T19" s="23"/>
      <c r="U19" s="23"/>
    </row>
    <row r="20" spans="1:21" x14ac:dyDescent="0.2">
      <c r="A20">
        <f>'Hand Coded'!A20</f>
        <v>987</v>
      </c>
      <c r="B20" t="str" cm="1">
        <f t="array" ref="B20">LOWER(TRIM(INDEX('Hand Coded'!A:G,ROW(),$W$11)))</f>
        <v>support with changes</v>
      </c>
      <c r="C20" t="str" cm="1">
        <f t="array" ref="C20">IFERROR(LOWER(TRIM(INDEX('gemini-3.1-flash-lite-preview'!A:K,MATCH(A20,'gemini-3.1-flash-lite-preview'!A:A,0),$W$12))),"NOT FOUND")</f>
        <v>support with changes</v>
      </c>
      <c r="D20" t="str" cm="1">
        <f t="array" ref="D20">IFERROR(LOWER(TRIM(INDEX('gpt-5.4-mini'!A:K,MATCH(A20,'gpt-5.4-mini'!A:A,0),$W$12))),"NOT FOUND")</f>
        <v>support with changes</v>
      </c>
      <c r="E20" t="str" cm="1">
        <f t="array" ref="E20">IFERROR(LOWER(TRIM(INDEX('claude-sonnet-4-6'!A:K,MATCH(A20,'claude-sonnet-4-6'!A:A,0),$W$12))),"NOT FOUND")</f>
        <v>support with changes</v>
      </c>
      <c r="F20" t="b">
        <f t="shared" si="0"/>
        <v>1</v>
      </c>
      <c r="G20" t="b">
        <f t="shared" si="1"/>
        <v>1</v>
      </c>
      <c r="H20" t="b">
        <f t="shared" si="2"/>
        <v>0</v>
      </c>
      <c r="I20" t="str">
        <f t="shared" si="3"/>
        <v>support with changes</v>
      </c>
      <c r="J20" t="str">
        <f t="shared" si="4"/>
        <v/>
      </c>
      <c r="P20" s="27"/>
      <c r="Q20" s="28"/>
      <c r="R20" s="40"/>
      <c r="S20" s="28"/>
    </row>
    <row r="21" spans="1:21" x14ac:dyDescent="0.2">
      <c r="A21">
        <f>'Hand Coded'!A21</f>
        <v>1010</v>
      </c>
      <c r="B21" t="str" cm="1">
        <f t="array" ref="B21">LOWER(TRIM(INDEX('Hand Coded'!A:G,ROW(),$W$11)))</f>
        <v>neutral</v>
      </c>
      <c r="C21" t="str" cm="1">
        <f t="array" ref="C21">IFERROR(LOWER(TRIM(INDEX('gemini-3.1-flash-lite-preview'!A:K,MATCH(A21,'gemini-3.1-flash-lite-preview'!A:A,0),$W$12))),"NOT FOUND")</f>
        <v>neutral</v>
      </c>
      <c r="D21" t="str" cm="1">
        <f t="array" ref="D21">IFERROR(LOWER(TRIM(INDEX('gpt-5.4-mini'!A:K,MATCH(A21,'gpt-5.4-mini'!A:A,0),$W$12))),"NOT FOUND")</f>
        <v>neutral</v>
      </c>
      <c r="E21" t="str" cm="1">
        <f t="array" ref="E21">IFERROR(LOWER(TRIM(INDEX('claude-sonnet-4-6'!A:K,MATCH(A21,'claude-sonnet-4-6'!A:A,0),$W$12))),"NOT FOUND")</f>
        <v>neutral</v>
      </c>
      <c r="F21" t="b">
        <f t="shared" si="0"/>
        <v>1</v>
      </c>
      <c r="G21" t="b">
        <f t="shared" si="1"/>
        <v>1</v>
      </c>
      <c r="H21" t="b">
        <f t="shared" si="2"/>
        <v>0</v>
      </c>
      <c r="I21" t="str">
        <f t="shared" si="3"/>
        <v>neutral</v>
      </c>
      <c r="J21" t="str">
        <f t="shared" si="4"/>
        <v/>
      </c>
      <c r="Q21" s="30"/>
      <c r="R21" s="30"/>
      <c r="S21" s="33"/>
    </row>
    <row r="22" spans="1:21" x14ac:dyDescent="0.2">
      <c r="A22">
        <f>'Hand Coded'!A22</f>
        <v>1058</v>
      </c>
      <c r="B22" t="str" cm="1">
        <f t="array" ref="B22">LOWER(TRIM(INDEX('Hand Coded'!A:G,ROW(),$W$11)))</f>
        <v>oppose</v>
      </c>
      <c r="C22" t="str" cm="1">
        <f t="array" ref="C22">IFERROR(LOWER(TRIM(INDEX('gemini-3.1-flash-lite-preview'!A:K,MATCH(A22,'gemini-3.1-flash-lite-preview'!A:A,0),$W$12))),"NOT FOUND")</f>
        <v>oppose</v>
      </c>
      <c r="D22" t="str" cm="1">
        <f t="array" ref="D22">IFERROR(LOWER(TRIM(INDEX('gpt-5.4-mini'!A:K,MATCH(A22,'gpt-5.4-mini'!A:A,0),$W$12))),"NOT FOUND")</f>
        <v>oppose</v>
      </c>
      <c r="E22" t="str" cm="1">
        <f t="array" ref="E22">IFERROR(LOWER(TRIM(INDEX('claude-sonnet-4-6'!A:K,MATCH(A22,'claude-sonnet-4-6'!A:A,0),$W$12))),"NOT FOUND")</f>
        <v>oppose</v>
      </c>
      <c r="F22" t="b">
        <f t="shared" si="0"/>
        <v>1</v>
      </c>
      <c r="G22" t="b">
        <f t="shared" si="1"/>
        <v>1</v>
      </c>
      <c r="H22" t="b">
        <f t="shared" si="2"/>
        <v>0</v>
      </c>
      <c r="I22" t="str">
        <f t="shared" si="3"/>
        <v>oppose</v>
      </c>
      <c r="J22" t="str">
        <f t="shared" si="4"/>
        <v/>
      </c>
      <c r="Q22" s="30"/>
      <c r="R22" s="30"/>
      <c r="S22" s="33"/>
    </row>
    <row r="23" spans="1:21" x14ac:dyDescent="0.2">
      <c r="A23">
        <f>'Hand Coded'!A23</f>
        <v>1170</v>
      </c>
      <c r="B23" t="str" cm="1">
        <f t="array" ref="B23">LOWER(TRIM(INDEX('Hand Coded'!A:G,ROW(),$W$11)))</f>
        <v>neutral</v>
      </c>
      <c r="C23" t="str" cm="1">
        <f t="array" ref="C23">IFERROR(LOWER(TRIM(INDEX('gemini-3.1-flash-lite-preview'!A:K,MATCH(A23,'gemini-3.1-flash-lite-preview'!A:A,0),$W$12))),"NOT FOUND")</f>
        <v>neutral</v>
      </c>
      <c r="D23" t="str" cm="1">
        <f t="array" ref="D23">IFERROR(LOWER(TRIM(INDEX('gpt-5.4-mini'!A:K,MATCH(A23,'gpt-5.4-mini'!A:A,0),$W$12))),"NOT FOUND")</f>
        <v>neutral</v>
      </c>
      <c r="E23" t="str" cm="1">
        <f t="array" ref="E23">IFERROR(LOWER(TRIM(INDEX('claude-sonnet-4-6'!A:K,MATCH(A23,'claude-sonnet-4-6'!A:A,0),$W$12))),"NOT FOUND")</f>
        <v>neutral</v>
      </c>
      <c r="F23" t="b">
        <f t="shared" si="0"/>
        <v>1</v>
      </c>
      <c r="G23" t="b">
        <f t="shared" si="1"/>
        <v>1</v>
      </c>
      <c r="H23" t="b">
        <f t="shared" si="2"/>
        <v>0</v>
      </c>
      <c r="I23" t="str">
        <f t="shared" si="3"/>
        <v>neutral</v>
      </c>
      <c r="J23" t="str">
        <f t="shared" si="4"/>
        <v/>
      </c>
      <c r="Q23" s="30"/>
      <c r="R23" s="30"/>
      <c r="S23" s="33"/>
    </row>
    <row r="24" spans="1:21" x14ac:dyDescent="0.2">
      <c r="A24">
        <f>'Hand Coded'!A24</f>
        <v>1186</v>
      </c>
      <c r="B24" t="str" cm="1">
        <f t="array" ref="B24">LOWER(TRIM(INDEX('Hand Coded'!A:G,ROW(),$W$11)))</f>
        <v>oppose</v>
      </c>
      <c r="C24" t="str" cm="1">
        <f t="array" ref="C24">IFERROR(LOWER(TRIM(INDEX('gemini-3.1-flash-lite-preview'!A:K,MATCH(A24,'gemini-3.1-flash-lite-preview'!A:A,0),$W$12))),"NOT FOUND")</f>
        <v>oppose</v>
      </c>
      <c r="D24" t="str" cm="1">
        <f t="array" ref="D24">IFERROR(LOWER(TRIM(INDEX('gpt-5.4-mini'!A:K,MATCH(A24,'gpt-5.4-mini'!A:A,0),$W$12))),"NOT FOUND")</f>
        <v>oppose</v>
      </c>
      <c r="E24" t="str" cm="1">
        <f t="array" ref="E24">IFERROR(LOWER(TRIM(INDEX('claude-sonnet-4-6'!A:K,MATCH(A24,'claude-sonnet-4-6'!A:A,0),$W$12))),"NOT FOUND")</f>
        <v>oppose</v>
      </c>
      <c r="F24" t="b">
        <f t="shared" si="0"/>
        <v>1</v>
      </c>
      <c r="G24" t="b">
        <f t="shared" si="1"/>
        <v>1</v>
      </c>
      <c r="H24" t="b">
        <f t="shared" si="2"/>
        <v>0</v>
      </c>
      <c r="I24" t="str">
        <f t="shared" si="3"/>
        <v>oppose</v>
      </c>
      <c r="J24" t="str">
        <f t="shared" si="4"/>
        <v/>
      </c>
      <c r="Q24" s="30"/>
      <c r="R24" s="30"/>
      <c r="S24" s="33"/>
    </row>
    <row r="25" spans="1:21" x14ac:dyDescent="0.2">
      <c r="A25">
        <f>'Hand Coded'!A25</f>
        <v>1289</v>
      </c>
      <c r="B25" t="str" cm="1">
        <f t="array" ref="B25">LOWER(TRIM(INDEX('Hand Coded'!A:G,ROW(),$W$11)))</f>
        <v>oppose</v>
      </c>
      <c r="C25" t="str" cm="1">
        <f t="array" ref="C25">IFERROR(LOWER(TRIM(INDEX('gemini-3.1-flash-lite-preview'!A:K,MATCH(A25,'gemini-3.1-flash-lite-preview'!A:A,0),$W$12))),"NOT FOUND")</f>
        <v>neutral</v>
      </c>
      <c r="D25" t="str" cm="1">
        <f t="array" ref="D25">IFERROR(LOWER(TRIM(INDEX('gpt-5.4-mini'!A:K,MATCH(A25,'gpt-5.4-mini'!A:A,0),$W$12))),"NOT FOUND")</f>
        <v>support</v>
      </c>
      <c r="E25" t="str" cm="1">
        <f t="array" ref="E25">IFERROR(LOWER(TRIM(INDEX('claude-sonnet-4-6'!A:K,MATCH(A25,'claude-sonnet-4-6'!A:A,0),$W$12))),"NOT FOUND")</f>
        <v>support with changes</v>
      </c>
      <c r="F25" t="b">
        <f t="shared" si="0"/>
        <v>0</v>
      </c>
      <c r="G25" t="str">
        <f t="shared" si="1"/>
        <v>N/A</v>
      </c>
      <c r="H25" t="b">
        <f t="shared" si="2"/>
        <v>0</v>
      </c>
      <c r="I25" t="str">
        <f t="shared" si="3"/>
        <v>No consensus</v>
      </c>
      <c r="J25" t="str">
        <f t="shared" si="4"/>
        <v/>
      </c>
      <c r="Q25" s="29"/>
      <c r="R25" s="30"/>
      <c r="S25" s="39"/>
    </row>
    <row r="26" spans="1:21" x14ac:dyDescent="0.2">
      <c r="A26">
        <f>'Hand Coded'!A26</f>
        <v>1713</v>
      </c>
      <c r="B26" t="str" cm="1">
        <f t="array" ref="B26">LOWER(TRIM(INDEX('Hand Coded'!A:G,ROW(),$W$11)))</f>
        <v>oppose</v>
      </c>
      <c r="C26" t="str" cm="1">
        <f t="array" ref="C26">IFERROR(LOWER(TRIM(INDEX('gemini-3.1-flash-lite-preview'!A:K,MATCH(A26,'gemini-3.1-flash-lite-preview'!A:A,0),$W$12))),"NOT FOUND")</f>
        <v>support with changes</v>
      </c>
      <c r="D26" t="str" cm="1">
        <f t="array" ref="D26">IFERROR(LOWER(TRIM(INDEX('gpt-5.4-mini'!A:K,MATCH(A26,'gpt-5.4-mini'!A:A,0),$W$12))),"NOT FOUND")</f>
        <v>oppose</v>
      </c>
      <c r="E26" t="str" cm="1">
        <f t="array" ref="E26">IFERROR(LOWER(TRIM(INDEX('claude-sonnet-4-6'!A:K,MATCH(A26,'claude-sonnet-4-6'!A:A,0),$W$12))),"NOT FOUND")</f>
        <v>support with changes</v>
      </c>
      <c r="F26" t="b">
        <f t="shared" si="0"/>
        <v>0</v>
      </c>
      <c r="G26" t="str">
        <f t="shared" si="1"/>
        <v>N/A</v>
      </c>
      <c r="H26" t="b">
        <f t="shared" si="2"/>
        <v>0</v>
      </c>
      <c r="I26" t="str">
        <f t="shared" si="3"/>
        <v>No consensus</v>
      </c>
      <c r="J26" t="str">
        <f t="shared" si="4"/>
        <v/>
      </c>
      <c r="R26" s="30"/>
    </row>
    <row r="27" spans="1:21" x14ac:dyDescent="0.2">
      <c r="A27">
        <f>'Hand Coded'!A27</f>
        <v>1751</v>
      </c>
      <c r="B27" t="str" cm="1">
        <f t="array" ref="B27">LOWER(TRIM(INDEX('Hand Coded'!A:G,ROW(),$W$11)))</f>
        <v>oppose</v>
      </c>
      <c r="C27" t="str" cm="1">
        <f t="array" ref="C27">IFERROR(LOWER(TRIM(INDEX('gemini-3.1-flash-lite-preview'!A:K,MATCH(A27,'gemini-3.1-flash-lite-preview'!A:A,0),$W$12))),"NOT FOUND")</f>
        <v>oppose</v>
      </c>
      <c r="D27" t="str" cm="1">
        <f t="array" ref="D27">IFERROR(LOWER(TRIM(INDEX('gpt-5.4-mini'!A:K,MATCH(A27,'gpt-5.4-mini'!A:A,0),$W$12))),"NOT FOUND")</f>
        <v>oppose</v>
      </c>
      <c r="E27" t="str" cm="1">
        <f t="array" ref="E27">IFERROR(LOWER(TRIM(INDEX('claude-sonnet-4-6'!A:K,MATCH(A27,'claude-sonnet-4-6'!A:A,0),$W$12))),"NOT FOUND")</f>
        <v>oppose</v>
      </c>
      <c r="F27" t="b">
        <f t="shared" si="0"/>
        <v>1</v>
      </c>
      <c r="G27" t="b">
        <f t="shared" si="1"/>
        <v>1</v>
      </c>
      <c r="H27" t="b">
        <f t="shared" si="2"/>
        <v>0</v>
      </c>
      <c r="I27" t="str">
        <f t="shared" si="3"/>
        <v>oppose</v>
      </c>
      <c r="J27" t="str">
        <f t="shared" si="4"/>
        <v/>
      </c>
      <c r="P27" t="str" cm="1">
        <f t="array" ref="P27">IFERROR(INDEX(_xlfn._xlws.SORT(_xlfn.UNIQUE(_xlfn._xlws.FILTER($J$2:$J$5000,$J$2:$J$5000&lt;&gt;"")),1,1),ROW()-8),"")</f>
        <v/>
      </c>
      <c r="Q27" t="str">
        <f t="shared" si="5"/>
        <v/>
      </c>
      <c r="R27" s="30" t="str">
        <f t="shared" si="6"/>
        <v/>
      </c>
      <c r="S27" s="23"/>
    </row>
    <row r="28" spans="1:21" x14ac:dyDescent="0.2">
      <c r="A28">
        <f>'Hand Coded'!A28</f>
        <v>1758</v>
      </c>
      <c r="B28" t="str" cm="1">
        <f t="array" ref="B28">LOWER(TRIM(INDEX('Hand Coded'!A:G,ROW(),$W$11)))</f>
        <v>support</v>
      </c>
      <c r="C28" t="str" cm="1">
        <f t="array" ref="C28">IFERROR(LOWER(TRIM(INDEX('gemini-3.1-flash-lite-preview'!A:K,MATCH(A28,'gemini-3.1-flash-lite-preview'!A:A,0),$W$12))),"NOT FOUND")</f>
        <v>support</v>
      </c>
      <c r="D28" t="str" cm="1">
        <f t="array" ref="D28">IFERROR(LOWER(TRIM(INDEX('gpt-5.4-mini'!A:K,MATCH(A28,'gpt-5.4-mini'!A:A,0),$W$12))),"NOT FOUND")</f>
        <v>support</v>
      </c>
      <c r="E28" t="str" cm="1">
        <f t="array" ref="E28">IFERROR(LOWER(TRIM(INDEX('claude-sonnet-4-6'!A:K,MATCH(A28,'claude-sonnet-4-6'!A:A,0),$W$12))),"NOT FOUND")</f>
        <v>support</v>
      </c>
      <c r="F28" t="b">
        <f t="shared" si="0"/>
        <v>1</v>
      </c>
      <c r="G28" t="b">
        <f t="shared" si="1"/>
        <v>1</v>
      </c>
      <c r="H28" t="b">
        <f t="shared" si="2"/>
        <v>0</v>
      </c>
      <c r="I28" t="str">
        <f t="shared" si="3"/>
        <v>support</v>
      </c>
      <c r="J28" t="str">
        <f t="shared" si="4"/>
        <v/>
      </c>
      <c r="P28" t="str" cm="1">
        <f t="array" ref="P28">IFERROR(INDEX(_xlfn._xlws.SORT(_xlfn.UNIQUE(_xlfn._xlws.FILTER($J$2:$J$5000,$J$2:$J$5000&lt;&gt;"")),1,1),ROW()-8),"")</f>
        <v/>
      </c>
      <c r="Q28" t="str">
        <f t="shared" si="5"/>
        <v/>
      </c>
      <c r="R28" s="30" t="str">
        <f t="shared" si="6"/>
        <v/>
      </c>
    </row>
    <row r="29" spans="1:21" x14ac:dyDescent="0.2">
      <c r="A29">
        <f>'Hand Coded'!A29</f>
        <v>1844</v>
      </c>
      <c r="B29" t="str" cm="1">
        <f t="array" ref="B29">LOWER(TRIM(INDEX('Hand Coded'!A:G,ROW(),$W$11)))</f>
        <v>support</v>
      </c>
      <c r="C29" t="str" cm="1">
        <f t="array" ref="C29">IFERROR(LOWER(TRIM(INDEX('gemini-3.1-flash-lite-preview'!A:K,MATCH(A29,'gemini-3.1-flash-lite-preview'!A:A,0),$W$12))),"NOT FOUND")</f>
        <v>oppose</v>
      </c>
      <c r="D29" t="str" cm="1">
        <f t="array" ref="D29">IFERROR(LOWER(TRIM(INDEX('gpt-5.4-mini'!A:K,MATCH(A29,'gpt-5.4-mini'!A:A,0),$W$12))),"NOT FOUND")</f>
        <v>oppose</v>
      </c>
      <c r="E29" t="str" cm="1">
        <f t="array" ref="E29">IFERROR(LOWER(TRIM(INDEX('claude-sonnet-4-6'!A:K,MATCH(A29,'claude-sonnet-4-6'!A:A,0),$W$12))),"NOT FOUND")</f>
        <v>support</v>
      </c>
      <c r="F29" t="b">
        <f t="shared" si="0"/>
        <v>0</v>
      </c>
      <c r="G29" t="str">
        <f t="shared" si="1"/>
        <v>N/A</v>
      </c>
      <c r="H29" t="b">
        <f t="shared" si="2"/>
        <v>0</v>
      </c>
      <c r="I29" t="str">
        <f t="shared" si="3"/>
        <v>No consensus</v>
      </c>
      <c r="J29" t="str">
        <f t="shared" si="4"/>
        <v/>
      </c>
      <c r="P29" t="str" cm="1">
        <f t="array" ref="P29">IFERROR(INDEX(_xlfn._xlws.SORT(_xlfn.UNIQUE(_xlfn._xlws.FILTER($J$2:$J$5000,$J$2:$J$5000&lt;&gt;"")),1,1),ROW()-8),"")</f>
        <v/>
      </c>
      <c r="Q29" t="str">
        <f t="shared" si="5"/>
        <v/>
      </c>
      <c r="R29" s="30" t="str">
        <f t="shared" si="6"/>
        <v/>
      </c>
    </row>
    <row r="30" spans="1:21" x14ac:dyDescent="0.2">
      <c r="A30">
        <f>'Hand Coded'!A30</f>
        <v>1854</v>
      </c>
      <c r="B30" t="str" cm="1">
        <f t="array" ref="B30">LOWER(TRIM(INDEX('Hand Coded'!A:G,ROW(),$W$11)))</f>
        <v>neutral</v>
      </c>
      <c r="C30" t="str" cm="1">
        <f t="array" ref="C30">IFERROR(LOWER(TRIM(INDEX('gemini-3.1-flash-lite-preview'!A:K,MATCH(A30,'gemini-3.1-flash-lite-preview'!A:A,0),$W$12))),"NOT FOUND")</f>
        <v>neutral</v>
      </c>
      <c r="D30" t="str" cm="1">
        <f t="array" ref="D30">IFERROR(LOWER(TRIM(INDEX('gpt-5.4-mini'!A:K,MATCH(A30,'gpt-5.4-mini'!A:A,0),$W$12))),"NOT FOUND")</f>
        <v>neutral</v>
      </c>
      <c r="E30" t="str" cm="1">
        <f t="array" ref="E30">IFERROR(LOWER(TRIM(INDEX('claude-sonnet-4-6'!A:K,MATCH(A30,'claude-sonnet-4-6'!A:A,0),$W$12))),"NOT FOUND")</f>
        <v>neutral</v>
      </c>
      <c r="F30" t="b">
        <f t="shared" si="0"/>
        <v>1</v>
      </c>
      <c r="G30" t="b">
        <f t="shared" si="1"/>
        <v>1</v>
      </c>
      <c r="H30" t="b">
        <f t="shared" si="2"/>
        <v>0</v>
      </c>
      <c r="I30" t="str">
        <f t="shared" si="3"/>
        <v>neutral</v>
      </c>
      <c r="J30" t="str">
        <f t="shared" si="4"/>
        <v/>
      </c>
      <c r="P30" t="str" cm="1">
        <f t="array" ref="P30">IFERROR(INDEX(_xlfn._xlws.SORT(_xlfn.UNIQUE(_xlfn._xlws.FILTER($J$2:$J$5000,$J$2:$J$5000&lt;&gt;"")),1,1),ROW()-8),"")</f>
        <v/>
      </c>
      <c r="Q30" t="str">
        <f t="shared" si="5"/>
        <v/>
      </c>
      <c r="R30" s="30" t="str">
        <f t="shared" si="6"/>
        <v/>
      </c>
    </row>
    <row r="31" spans="1:21" x14ac:dyDescent="0.2">
      <c r="A31">
        <f>'Hand Coded'!A31</f>
        <v>1915</v>
      </c>
      <c r="B31" t="str" cm="1">
        <f t="array" ref="B31">LOWER(TRIM(INDEX('Hand Coded'!A:G,ROW(),$W$11)))</f>
        <v>support</v>
      </c>
      <c r="C31" t="str" cm="1">
        <f t="array" ref="C31">IFERROR(LOWER(TRIM(INDEX('gemini-3.1-flash-lite-preview'!A:K,MATCH(A31,'gemini-3.1-flash-lite-preview'!A:A,0),$W$12))),"NOT FOUND")</f>
        <v>oppose</v>
      </c>
      <c r="D31" t="str" cm="1">
        <f t="array" ref="D31">IFERROR(LOWER(TRIM(INDEX('gpt-5.4-mini'!A:K,MATCH(A31,'gpt-5.4-mini'!A:A,0),$W$12))),"NOT FOUND")</f>
        <v>support</v>
      </c>
      <c r="E31" t="str" cm="1">
        <f t="array" ref="E31">IFERROR(LOWER(TRIM(INDEX('claude-sonnet-4-6'!A:K,MATCH(A31,'claude-sonnet-4-6'!A:A,0),$W$12))),"NOT FOUND")</f>
        <v>support</v>
      </c>
      <c r="F31" t="b">
        <f t="shared" si="0"/>
        <v>0</v>
      </c>
      <c r="G31" t="str">
        <f t="shared" si="1"/>
        <v>N/A</v>
      </c>
      <c r="H31" t="b">
        <f t="shared" si="2"/>
        <v>0</v>
      </c>
      <c r="I31" t="str">
        <f t="shared" si="3"/>
        <v>No consensus</v>
      </c>
      <c r="J31" t="str">
        <f t="shared" si="4"/>
        <v/>
      </c>
      <c r="P31" t="str" cm="1">
        <f t="array" ref="P31">IFERROR(INDEX(_xlfn._xlws.SORT(_xlfn.UNIQUE(_xlfn._xlws.FILTER($J$2:$J$5000,$J$2:$J$5000&lt;&gt;"")),1,1),ROW()-8),"")</f>
        <v/>
      </c>
      <c r="Q31" t="str">
        <f t="shared" si="5"/>
        <v/>
      </c>
      <c r="R31" s="30" t="str">
        <f t="shared" si="6"/>
        <v/>
      </c>
    </row>
    <row r="32" spans="1:21" x14ac:dyDescent="0.2">
      <c r="A32">
        <f>'Hand Coded'!A32</f>
        <v>1943</v>
      </c>
      <c r="B32" t="str" cm="1">
        <f t="array" ref="B32">LOWER(TRIM(INDEX('Hand Coded'!A:G,ROW(),$W$11)))</f>
        <v>support with changes</v>
      </c>
      <c r="C32" t="str" cm="1">
        <f t="array" ref="C32">IFERROR(LOWER(TRIM(INDEX('gemini-3.1-flash-lite-preview'!A:K,MATCH(A32,'gemini-3.1-flash-lite-preview'!A:A,0),$W$12))),"NOT FOUND")</f>
        <v>support with changes</v>
      </c>
      <c r="D32" t="str" cm="1">
        <f t="array" ref="D32">IFERROR(LOWER(TRIM(INDEX('gpt-5.4-mini'!A:K,MATCH(A32,'gpt-5.4-mini'!A:A,0),$W$12))),"NOT FOUND")</f>
        <v>support with changes</v>
      </c>
      <c r="E32" t="str" cm="1">
        <f t="array" ref="E32">IFERROR(LOWER(TRIM(INDEX('claude-sonnet-4-6'!A:K,MATCH(A32,'claude-sonnet-4-6'!A:A,0),$W$12))),"NOT FOUND")</f>
        <v>support with changes</v>
      </c>
      <c r="F32" t="b">
        <f t="shared" si="0"/>
        <v>1</v>
      </c>
      <c r="G32" t="b">
        <f t="shared" si="1"/>
        <v>1</v>
      </c>
      <c r="H32" t="b">
        <f t="shared" si="2"/>
        <v>0</v>
      </c>
      <c r="I32" t="str">
        <f t="shared" si="3"/>
        <v>support with changes</v>
      </c>
      <c r="J32" t="str">
        <f t="shared" si="4"/>
        <v/>
      </c>
      <c r="P32" t="str" cm="1">
        <f t="array" ref="P32">IFERROR(INDEX(_xlfn._xlws.SORT(_xlfn.UNIQUE(_xlfn._xlws.FILTER($J$2:$J$5000,$J$2:$J$5000&lt;&gt;"")),1,1),ROW()-8),"")</f>
        <v/>
      </c>
      <c r="Q32" t="str">
        <f t="shared" si="5"/>
        <v/>
      </c>
      <c r="R32" s="30" t="str">
        <f t="shared" si="6"/>
        <v/>
      </c>
    </row>
    <row r="33" spans="1:20" x14ac:dyDescent="0.2">
      <c r="A33">
        <f>'Hand Coded'!A33</f>
        <v>1947</v>
      </c>
      <c r="B33" t="str" cm="1">
        <f t="array" ref="B33">LOWER(TRIM(INDEX('Hand Coded'!A:G,ROW(),$W$11)))</f>
        <v>support with changes</v>
      </c>
      <c r="C33" t="str" cm="1">
        <f t="array" ref="C33">IFERROR(LOWER(TRIM(INDEX('gemini-3.1-flash-lite-preview'!A:K,MATCH(A33,'gemini-3.1-flash-lite-preview'!A:A,0),$W$12))),"NOT FOUND")</f>
        <v>support with changes</v>
      </c>
      <c r="D33" t="str" cm="1">
        <f t="array" ref="D33">IFERROR(LOWER(TRIM(INDEX('gpt-5.4-mini'!A:K,MATCH(A33,'gpt-5.4-mini'!A:A,0),$W$12))),"NOT FOUND")</f>
        <v>support with changes</v>
      </c>
      <c r="E33" t="str" cm="1">
        <f t="array" ref="E33">IFERROR(LOWER(TRIM(INDEX('claude-sonnet-4-6'!A:K,MATCH(A33,'claude-sonnet-4-6'!A:A,0),$W$12))),"NOT FOUND")</f>
        <v>support with changes</v>
      </c>
      <c r="F33" t="b">
        <f t="shared" si="0"/>
        <v>1</v>
      </c>
      <c r="G33" t="b">
        <f t="shared" si="1"/>
        <v>1</v>
      </c>
      <c r="H33" t="b">
        <f t="shared" si="2"/>
        <v>0</v>
      </c>
      <c r="I33" t="str">
        <f t="shared" si="3"/>
        <v>support with changes</v>
      </c>
      <c r="J33" t="str">
        <f t="shared" si="4"/>
        <v/>
      </c>
      <c r="P33" t="str" cm="1">
        <f t="array" ref="P33">IFERROR(INDEX(_xlfn._xlws.SORT(_xlfn.UNIQUE(_xlfn._xlws.FILTER($J$2:$J$5000,$J$2:$J$5000&lt;&gt;"")),1,1),ROW()-8),"")</f>
        <v/>
      </c>
      <c r="Q33" t="str">
        <f t="shared" si="5"/>
        <v/>
      </c>
      <c r="R33" s="30" t="str">
        <f t="shared" si="6"/>
        <v/>
      </c>
    </row>
    <row r="34" spans="1:20" x14ac:dyDescent="0.2">
      <c r="A34">
        <f>'Hand Coded'!A34</f>
        <v>1955</v>
      </c>
      <c r="B34" t="str" cm="1">
        <f t="array" ref="B34">LOWER(TRIM(INDEX('Hand Coded'!A:G,ROW(),$W$11)))</f>
        <v>support with changes</v>
      </c>
      <c r="C34" t="str" cm="1">
        <f t="array" ref="C34">IFERROR(LOWER(TRIM(INDEX('gemini-3.1-flash-lite-preview'!A:K,MATCH(A34,'gemini-3.1-flash-lite-preview'!A:A,0),$W$12))),"NOT FOUND")</f>
        <v>oppose</v>
      </c>
      <c r="D34" t="str" cm="1">
        <f t="array" ref="D34">IFERROR(LOWER(TRIM(INDEX('gpt-5.4-mini'!A:K,MATCH(A34,'gpt-5.4-mini'!A:A,0),$W$12))),"NOT FOUND")</f>
        <v>support</v>
      </c>
      <c r="E34" t="str" cm="1">
        <f t="array" ref="E34">IFERROR(LOWER(TRIM(INDEX('claude-sonnet-4-6'!A:K,MATCH(A34,'claude-sonnet-4-6'!A:A,0),$W$12))),"NOT FOUND")</f>
        <v>support</v>
      </c>
      <c r="F34" t="b">
        <f t="shared" si="0"/>
        <v>0</v>
      </c>
      <c r="G34" t="str">
        <f t="shared" si="1"/>
        <v>N/A</v>
      </c>
      <c r="H34" t="b">
        <f t="shared" si="2"/>
        <v>0</v>
      </c>
      <c r="I34" t="str">
        <f t="shared" si="3"/>
        <v>No consensus</v>
      </c>
      <c r="J34" t="str">
        <f t="shared" si="4"/>
        <v/>
      </c>
      <c r="P34" t="str" cm="1">
        <f t="array" ref="P34">IFERROR(INDEX(_xlfn._xlws.SORT(_xlfn.UNIQUE(_xlfn._xlws.FILTER($J$2:$J$5000,$J$2:$J$5000&lt;&gt;"")),1,1),ROW()-8),"")</f>
        <v/>
      </c>
      <c r="Q34" t="str">
        <f t="shared" si="5"/>
        <v/>
      </c>
      <c r="R34" s="30" t="str">
        <f t="shared" si="6"/>
        <v/>
      </c>
    </row>
    <row r="35" spans="1:20" x14ac:dyDescent="0.2">
      <c r="A35">
        <f>'Hand Coded'!A35</f>
        <v>1975</v>
      </c>
      <c r="B35" t="str" cm="1">
        <f t="array" ref="B35">LOWER(TRIM(INDEX('Hand Coded'!A:G,ROW(),$W$11)))</f>
        <v>oppose</v>
      </c>
      <c r="C35" t="str" cm="1">
        <f t="array" ref="C35">IFERROR(LOWER(TRIM(INDEX('gemini-3.1-flash-lite-preview'!A:K,MATCH(A35,'gemini-3.1-flash-lite-preview'!A:A,0),$W$12))),"NOT FOUND")</f>
        <v>oppose</v>
      </c>
      <c r="D35" t="str" cm="1">
        <f t="array" ref="D35">IFERROR(LOWER(TRIM(INDEX('gpt-5.4-mini'!A:K,MATCH(A35,'gpt-5.4-mini'!A:A,0),$W$12))),"NOT FOUND")</f>
        <v>oppose</v>
      </c>
      <c r="E35" t="str" cm="1">
        <f t="array" ref="E35">IFERROR(LOWER(TRIM(INDEX('claude-sonnet-4-6'!A:K,MATCH(A35,'claude-sonnet-4-6'!A:A,0),$W$12))),"NOT FOUND")</f>
        <v>oppose</v>
      </c>
      <c r="F35" t="b">
        <f t="shared" si="0"/>
        <v>1</v>
      </c>
      <c r="G35" t="b">
        <f t="shared" si="1"/>
        <v>1</v>
      </c>
      <c r="H35" t="b">
        <f t="shared" si="2"/>
        <v>0</v>
      </c>
      <c r="I35" t="str">
        <f t="shared" si="3"/>
        <v>oppose</v>
      </c>
      <c r="J35" t="str">
        <f t="shared" si="4"/>
        <v/>
      </c>
      <c r="P35" t="str" cm="1">
        <f t="array" ref="P35">IFERROR(INDEX(_xlfn._xlws.SORT(_xlfn.UNIQUE(_xlfn._xlws.FILTER($J$2:$J$5000,$J$2:$J$5000&lt;&gt;"")),1,1),ROW()-8),"")</f>
        <v/>
      </c>
      <c r="Q35" t="str">
        <f t="shared" si="5"/>
        <v/>
      </c>
      <c r="R35" s="30" t="str">
        <f t="shared" si="6"/>
        <v/>
      </c>
    </row>
    <row r="36" spans="1:20" x14ac:dyDescent="0.2">
      <c r="A36">
        <f>'Hand Coded'!A36</f>
        <v>1983</v>
      </c>
      <c r="B36" t="str" cm="1">
        <f t="array" ref="B36">LOWER(TRIM(INDEX('Hand Coded'!A:G,ROW(),$W$11)))</f>
        <v>neutral</v>
      </c>
      <c r="C36" t="str" cm="1">
        <f t="array" ref="C36">IFERROR(LOWER(TRIM(INDEX('gemini-3.1-flash-lite-preview'!A:K,MATCH(A36,'gemini-3.1-flash-lite-preview'!A:A,0),$W$12))),"NOT FOUND")</f>
        <v>oppose</v>
      </c>
      <c r="D36" t="str" cm="1">
        <f t="array" ref="D36">IFERROR(LOWER(TRIM(INDEX('gpt-5.4-mini'!A:K,MATCH(A36,'gpt-5.4-mini'!A:A,0),$W$12))),"NOT FOUND")</f>
        <v>oppose</v>
      </c>
      <c r="E36" t="str" cm="1">
        <f t="array" ref="E36">IFERROR(LOWER(TRIM(INDEX('claude-sonnet-4-6'!A:K,MATCH(A36,'claude-sonnet-4-6'!A:A,0),$W$12))),"NOT FOUND")</f>
        <v>neutral</v>
      </c>
      <c r="F36" t="b">
        <f t="shared" si="0"/>
        <v>0</v>
      </c>
      <c r="G36" t="str">
        <f t="shared" si="1"/>
        <v>N/A</v>
      </c>
      <c r="H36" t="b">
        <f t="shared" si="2"/>
        <v>0</v>
      </c>
      <c r="I36" t="str">
        <f t="shared" si="3"/>
        <v>No consensus</v>
      </c>
      <c r="J36" t="str">
        <f t="shared" si="4"/>
        <v/>
      </c>
      <c r="P36" t="str" cm="1">
        <f t="array" ref="P36">IFERROR(INDEX(_xlfn._xlws.SORT(_xlfn.UNIQUE(_xlfn._xlws.FILTER($J$2:$J$5000,$J$2:$J$5000&lt;&gt;"")),1,1),ROW()-8),"")</f>
        <v/>
      </c>
      <c r="Q36" t="str">
        <f t="shared" si="5"/>
        <v/>
      </c>
      <c r="R36" s="30" t="str">
        <f t="shared" si="6"/>
        <v/>
      </c>
    </row>
    <row r="37" spans="1:20" x14ac:dyDescent="0.2">
      <c r="A37">
        <f>'Hand Coded'!A37</f>
        <v>2000</v>
      </c>
      <c r="B37" t="str" cm="1">
        <f t="array" ref="B37">LOWER(TRIM(INDEX('Hand Coded'!A:G,ROW(),$W$11)))</f>
        <v>neutral</v>
      </c>
      <c r="C37" t="str" cm="1">
        <f t="array" ref="C37">IFERROR(LOWER(TRIM(INDEX('gemini-3.1-flash-lite-preview'!A:K,MATCH(A37,'gemini-3.1-flash-lite-preview'!A:A,0),$W$12))),"NOT FOUND")</f>
        <v>neutral</v>
      </c>
      <c r="D37" t="str" cm="1">
        <f t="array" ref="D37">IFERROR(LOWER(TRIM(INDEX('gpt-5.4-mini'!A:K,MATCH(A37,'gpt-5.4-mini'!A:A,0),$W$12))),"NOT FOUND")</f>
        <v>neutral</v>
      </c>
      <c r="E37" t="str" cm="1">
        <f t="array" ref="E37">IFERROR(LOWER(TRIM(INDEX('claude-sonnet-4-6'!A:K,MATCH(A37,'claude-sonnet-4-6'!A:A,0),$W$12))),"NOT FOUND")</f>
        <v>neutral</v>
      </c>
      <c r="F37" t="b">
        <f t="shared" si="0"/>
        <v>1</v>
      </c>
      <c r="G37" t="b">
        <f t="shared" si="1"/>
        <v>1</v>
      </c>
      <c r="H37" t="b">
        <f t="shared" si="2"/>
        <v>0</v>
      </c>
      <c r="I37" t="str">
        <f t="shared" si="3"/>
        <v>neutral</v>
      </c>
      <c r="J37" t="str">
        <f t="shared" si="4"/>
        <v/>
      </c>
      <c r="P37" t="str" cm="1">
        <f t="array" ref="P37">IFERROR(INDEX(_xlfn._xlws.SORT(_xlfn.UNIQUE(_xlfn._xlws.FILTER($J$2:$J$5000,$J$2:$J$5000&lt;&gt;"")),1,1),ROW()-8),"")</f>
        <v/>
      </c>
      <c r="Q37" t="str">
        <f t="shared" si="5"/>
        <v/>
      </c>
      <c r="R37" s="30" t="str">
        <f t="shared" si="6"/>
        <v/>
      </c>
    </row>
    <row r="38" spans="1:20" x14ac:dyDescent="0.2">
      <c r="A38">
        <f>'Hand Coded'!A38</f>
        <v>2012</v>
      </c>
      <c r="B38" t="str" cm="1">
        <f t="array" ref="B38">LOWER(TRIM(INDEX('Hand Coded'!A:G,ROW(),$W$11)))</f>
        <v>oppose</v>
      </c>
      <c r="C38" t="str" cm="1">
        <f t="array" ref="C38">IFERROR(LOWER(TRIM(INDEX('gemini-3.1-flash-lite-preview'!A:K,MATCH(A38,'gemini-3.1-flash-lite-preview'!A:A,0),$W$12))),"NOT FOUND")</f>
        <v>oppose</v>
      </c>
      <c r="D38" t="str" cm="1">
        <f t="array" ref="D38">IFERROR(LOWER(TRIM(INDEX('gpt-5.4-mini'!A:K,MATCH(A38,'gpt-5.4-mini'!A:A,0),$W$12))),"NOT FOUND")</f>
        <v>oppose</v>
      </c>
      <c r="E38" t="str" cm="1">
        <f t="array" ref="E38">IFERROR(LOWER(TRIM(INDEX('claude-sonnet-4-6'!A:K,MATCH(A38,'claude-sonnet-4-6'!A:A,0),$W$12))),"NOT FOUND")</f>
        <v>oppose</v>
      </c>
      <c r="F38" t="b">
        <f t="shared" si="0"/>
        <v>1</v>
      </c>
      <c r="G38" t="b">
        <f t="shared" si="1"/>
        <v>1</v>
      </c>
      <c r="H38" t="b">
        <f t="shared" si="2"/>
        <v>0</v>
      </c>
      <c r="I38" t="str">
        <f t="shared" si="3"/>
        <v>oppose</v>
      </c>
      <c r="J38" t="str">
        <f t="shared" si="4"/>
        <v/>
      </c>
      <c r="P38" t="str" cm="1">
        <f t="array" ref="P38">IFERROR(INDEX(_xlfn._xlws.SORT(_xlfn.UNIQUE(_xlfn._xlws.FILTER($J$2:$J$5000,$J$2:$J$5000&lt;&gt;"")),1,1),ROW()-8),"")</f>
        <v/>
      </c>
      <c r="Q38" t="str">
        <f t="shared" si="5"/>
        <v/>
      </c>
      <c r="R38" s="30" t="str">
        <f t="shared" si="6"/>
        <v/>
      </c>
    </row>
    <row r="39" spans="1:20" x14ac:dyDescent="0.2">
      <c r="A39">
        <f>'Hand Coded'!A39</f>
        <v>2086</v>
      </c>
      <c r="B39" t="str" cm="1">
        <f t="array" ref="B39">LOWER(TRIM(INDEX('Hand Coded'!A:G,ROW(),$W$11)))</f>
        <v>support with changes</v>
      </c>
      <c r="C39" t="str" cm="1">
        <f t="array" ref="C39">IFERROR(LOWER(TRIM(INDEX('gemini-3.1-flash-lite-preview'!A:K,MATCH(A39,'gemini-3.1-flash-lite-preview'!A:A,0),$W$12))),"NOT FOUND")</f>
        <v>support with changes</v>
      </c>
      <c r="D39" t="str" cm="1">
        <f t="array" ref="D39">IFERROR(LOWER(TRIM(INDEX('gpt-5.4-mini'!A:K,MATCH(A39,'gpt-5.4-mini'!A:A,0),$W$12))),"NOT FOUND")</f>
        <v>support with changes</v>
      </c>
      <c r="E39" t="str" cm="1">
        <f t="array" ref="E39">IFERROR(LOWER(TRIM(INDEX('claude-sonnet-4-6'!A:K,MATCH(A39,'claude-sonnet-4-6'!A:A,0),$W$12))),"NOT FOUND")</f>
        <v>support with changes</v>
      </c>
      <c r="F39" t="b">
        <f t="shared" si="0"/>
        <v>1</v>
      </c>
      <c r="G39" t="b">
        <f t="shared" si="1"/>
        <v>1</v>
      </c>
      <c r="H39" t="b">
        <f t="shared" si="2"/>
        <v>0</v>
      </c>
      <c r="I39" t="str">
        <f t="shared" si="3"/>
        <v>support with changes</v>
      </c>
      <c r="J39" t="str">
        <f t="shared" si="4"/>
        <v/>
      </c>
    </row>
    <row r="40" spans="1:20" ht="16" x14ac:dyDescent="0.2">
      <c r="A40">
        <f>'Hand Coded'!A40</f>
        <v>2180</v>
      </c>
      <c r="B40" t="str" cm="1">
        <f t="array" ref="B40">LOWER(TRIM(INDEX('Hand Coded'!A:G,ROW(),$W$11)))</f>
        <v>support</v>
      </c>
      <c r="C40" t="str" cm="1">
        <f t="array" ref="C40">IFERROR(LOWER(TRIM(INDEX('gemini-3.1-flash-lite-preview'!A:K,MATCH(A40,'gemini-3.1-flash-lite-preview'!A:A,0),$W$12))),"NOT FOUND")</f>
        <v>support</v>
      </c>
      <c r="D40" t="str" cm="1">
        <f t="array" ref="D40">IFERROR(LOWER(TRIM(INDEX('gpt-5.4-mini'!A:K,MATCH(A40,'gpt-5.4-mini'!A:A,0),$W$12))),"NOT FOUND")</f>
        <v>support</v>
      </c>
      <c r="E40" t="str" cm="1">
        <f t="array" ref="E40">IFERROR(LOWER(TRIM(INDEX('claude-sonnet-4-6'!A:K,MATCH(A40,'claude-sonnet-4-6'!A:A,0),$W$12))),"NOT FOUND")</f>
        <v>support</v>
      </c>
      <c r="F40" t="b">
        <f t="shared" si="0"/>
        <v>1</v>
      </c>
      <c r="G40" t="b">
        <f t="shared" si="1"/>
        <v>1</v>
      </c>
      <c r="H40" t="b">
        <f t="shared" si="2"/>
        <v>0</v>
      </c>
      <c r="I40" t="str">
        <f t="shared" si="3"/>
        <v>support</v>
      </c>
      <c r="J40" t="str">
        <f t="shared" si="4"/>
        <v/>
      </c>
      <c r="P40" s="22" t="s">
        <v>470</v>
      </c>
      <c r="Q40" s="23"/>
      <c r="R40" s="23"/>
      <c r="S40" s="23"/>
      <c r="T40" s="23"/>
    </row>
    <row r="41" spans="1:20" x14ac:dyDescent="0.2">
      <c r="A41">
        <f>'Hand Coded'!A41</f>
        <v>2192</v>
      </c>
      <c r="B41" t="str" cm="1">
        <f t="array" ref="B41">LOWER(TRIM(INDEX('Hand Coded'!A:G,ROW(),$W$11)))</f>
        <v>oppose</v>
      </c>
      <c r="C41" t="str" cm="1">
        <f t="array" ref="C41">IFERROR(LOWER(TRIM(INDEX('gemini-3.1-flash-lite-preview'!A:K,MATCH(A41,'gemini-3.1-flash-lite-preview'!A:A,0),$W$12))),"NOT FOUND")</f>
        <v>oppose</v>
      </c>
      <c r="D41" t="str" cm="1">
        <f t="array" ref="D41">IFERROR(LOWER(TRIM(INDEX('gpt-5.4-mini'!A:K,MATCH(A41,'gpt-5.4-mini'!A:A,0),$W$12))),"NOT FOUND")</f>
        <v>oppose</v>
      </c>
      <c r="E41" t="str" cm="1">
        <f t="array" ref="E41">IFERROR(LOWER(TRIM(INDEX('claude-sonnet-4-6'!A:K,MATCH(A41,'claude-sonnet-4-6'!A:A,0),$W$12))),"NOT FOUND")</f>
        <v>oppose</v>
      </c>
      <c r="F41" t="b">
        <f t="shared" si="0"/>
        <v>1</v>
      </c>
      <c r="G41" t="b">
        <f t="shared" si="1"/>
        <v>1</v>
      </c>
      <c r="H41" t="b">
        <f t="shared" si="2"/>
        <v>0</v>
      </c>
      <c r="I41" t="str">
        <f t="shared" si="3"/>
        <v>oppose</v>
      </c>
      <c r="J41" t="str">
        <f t="shared" si="4"/>
        <v/>
      </c>
      <c r="P41" s="27" t="s">
        <v>471</v>
      </c>
      <c r="Q41" s="28" t="s">
        <v>440</v>
      </c>
      <c r="R41" s="28" t="s">
        <v>452</v>
      </c>
      <c r="S41" s="28" t="s">
        <v>472</v>
      </c>
      <c r="T41" s="28" t="s">
        <v>453</v>
      </c>
    </row>
    <row r="42" spans="1:20" x14ac:dyDescent="0.2">
      <c r="A42">
        <f>'Hand Coded'!A42</f>
        <v>2197</v>
      </c>
      <c r="B42" t="str" cm="1">
        <f t="array" ref="B42">LOWER(TRIM(INDEX('Hand Coded'!A:G,ROW(),$W$11)))</f>
        <v>oppose</v>
      </c>
      <c r="C42" t="str" cm="1">
        <f t="array" ref="C42">IFERROR(LOWER(TRIM(INDEX('gemini-3.1-flash-lite-preview'!A:K,MATCH(A42,'gemini-3.1-flash-lite-preview'!A:A,0),$W$12))),"NOT FOUND")</f>
        <v>oppose</v>
      </c>
      <c r="D42" t="str" cm="1">
        <f t="array" ref="D42">IFERROR(LOWER(TRIM(INDEX('gpt-5.4-mini'!A:K,MATCH(A42,'gpt-5.4-mini'!A:A,0),$W$12))),"NOT FOUND")</f>
        <v>oppose</v>
      </c>
      <c r="E42" t="str" cm="1">
        <f t="array" ref="E42">IFERROR(LOWER(TRIM(INDEX('claude-sonnet-4-6'!A:K,MATCH(A42,'claude-sonnet-4-6'!A:A,0),$W$12))),"NOT FOUND")</f>
        <v>oppose</v>
      </c>
      <c r="F42" t="b">
        <f t="shared" si="0"/>
        <v>1</v>
      </c>
      <c r="G42" t="b">
        <f t="shared" si="1"/>
        <v>1</v>
      </c>
      <c r="H42" t="b">
        <f t="shared" si="2"/>
        <v>0</v>
      </c>
      <c r="I42" t="str">
        <f t="shared" si="3"/>
        <v>oppose</v>
      </c>
      <c r="J42" t="str">
        <f t="shared" si="4"/>
        <v/>
      </c>
      <c r="P42" t="str" cm="1">
        <f t="array" ref="P42">IFERROR(INDEX(_xlfn._xlws.SORT(_xlfn.UNIQUE(_xlfn._xlws.FILTER($B$2:$B$5000,$B$2:$B$5000&lt;&gt;"")),1,1),ROW()-41),"")</f>
        <v>neutral</v>
      </c>
      <c r="Q42">
        <f>IF(P42="","",COUNTIF($B$2:$B$5000,P42))</f>
        <v>47</v>
      </c>
      <c r="R42" cm="1">
        <f t="array" aca="1" ref="R42" ca="1">IF(P42="","",SUMPRODUCT((OFFSET($B$2,0,0,$Q$2,1)=P42)*((OFFSET($B$2,0,0,$Q$2,1)=OFFSET($C$2,0,0,$Q$2,1))+(OFFSET($B$2,0,0,$Q$2,1)=OFFSET($D$2,0,0,$Q$2,1))+(OFFSET($B$2,0,0,$Q$2,1)=OFFSET($E$2,0,0,$Q$2,1))&gt;=2)))</f>
        <v>34</v>
      </c>
      <c r="S42" s="30">
        <f ca="1">IF(P42="","",R42/Q42)</f>
        <v>0.72340425531914898</v>
      </c>
      <c r="T42" s="29" cm="1">
        <f t="array" aca="1" ref="T42" ca="1">IF(P42="","",SUMPRODUCT((OFFSET($B$2,0,0,$Q$2,1)=P42)*(OFFSET($H$2,0,0,$Q$2,1)=TRUE)))</f>
        <v>4</v>
      </c>
    </row>
    <row r="43" spans="1:20" x14ac:dyDescent="0.2">
      <c r="A43">
        <f>'Hand Coded'!A43</f>
        <v>2219</v>
      </c>
      <c r="B43" t="str" cm="1">
        <f t="array" ref="B43">LOWER(TRIM(INDEX('Hand Coded'!A:G,ROW(),$W$11)))</f>
        <v>neutral</v>
      </c>
      <c r="C43" t="str" cm="1">
        <f t="array" ref="C43">IFERROR(LOWER(TRIM(INDEX('gemini-3.1-flash-lite-preview'!A:K,MATCH(A43,'gemini-3.1-flash-lite-preview'!A:A,0),$W$12))),"NOT FOUND")</f>
        <v>oppose</v>
      </c>
      <c r="D43" t="str" cm="1">
        <f t="array" ref="D43">IFERROR(LOWER(TRIM(INDEX('gpt-5.4-mini'!A:K,MATCH(A43,'gpt-5.4-mini'!A:A,0),$W$12))),"NOT FOUND")</f>
        <v>oppose</v>
      </c>
      <c r="E43" t="str" cm="1">
        <f t="array" ref="E43">IFERROR(LOWER(TRIM(INDEX('claude-sonnet-4-6'!A:K,MATCH(A43,'claude-sonnet-4-6'!A:A,0),$W$12))),"NOT FOUND")</f>
        <v>support with changes</v>
      </c>
      <c r="F43" t="b">
        <f t="shared" si="0"/>
        <v>0</v>
      </c>
      <c r="G43" t="str">
        <f t="shared" si="1"/>
        <v>N/A</v>
      </c>
      <c r="H43" t="b">
        <f t="shared" si="2"/>
        <v>0</v>
      </c>
      <c r="I43" t="str">
        <f t="shared" si="3"/>
        <v>No consensus</v>
      </c>
      <c r="J43" t="str">
        <f t="shared" si="4"/>
        <v/>
      </c>
      <c r="P43" t="str" cm="1">
        <f t="array" ref="P43">IFERROR(INDEX(_xlfn._xlws.SORT(_xlfn.UNIQUE(_xlfn._xlws.FILTER($B$2:$B$5000,$B$2:$B$5000&lt;&gt;"")),1,1),ROW()-41),"")</f>
        <v>oppose</v>
      </c>
      <c r="Q43">
        <f t="shared" ref="Q43:Q56" si="7">IF(P43="","",COUNTIF($B$2:$B$5000,P43))</f>
        <v>101</v>
      </c>
      <c r="R43" cm="1">
        <f t="array" aca="1" ref="R43" ca="1">IF(P43="","",SUMPRODUCT((OFFSET($B$2,0,0,$Q$2,1)=P43)*((OFFSET($B$2,0,0,$Q$2,1)=OFFSET($C$2,0,0,$Q$2,1))+(OFFSET($B$2,0,0,$Q$2,1)=OFFSET($D$2,0,0,$Q$2,1))+(OFFSET($B$2,0,0,$Q$2,1)=OFFSET($E$2,0,0,$Q$2,1))&gt;=2)))</f>
        <v>91</v>
      </c>
      <c r="S43" s="30">
        <f t="shared" ref="S43:S56" ca="1" si="8">IF(P43="","",R43/Q43)</f>
        <v>0.90099009900990101</v>
      </c>
      <c r="T43" s="29" cm="1">
        <f t="array" aca="1" ref="T43" ca="1">IF(P43="","",SUMPRODUCT((OFFSET($B$2,0,0,$Q$2,1)=P43)*(OFFSET($H$2,0,0,$Q$2,1)=TRUE)))</f>
        <v>3</v>
      </c>
    </row>
    <row r="44" spans="1:20" x14ac:dyDescent="0.2">
      <c r="A44">
        <f>'Hand Coded'!A44</f>
        <v>2241</v>
      </c>
      <c r="B44" t="str" cm="1">
        <f t="array" ref="B44">LOWER(TRIM(INDEX('Hand Coded'!A:G,ROW(),$W$11)))</f>
        <v>support</v>
      </c>
      <c r="C44" t="str" cm="1">
        <f t="array" ref="C44">IFERROR(LOWER(TRIM(INDEX('gemini-3.1-flash-lite-preview'!A:K,MATCH(A44,'gemini-3.1-flash-lite-preview'!A:A,0),$W$12))),"NOT FOUND")</f>
        <v>oppose</v>
      </c>
      <c r="D44" t="str" cm="1">
        <f t="array" ref="D44">IFERROR(LOWER(TRIM(INDEX('gpt-5.4-mini'!A:K,MATCH(A44,'gpt-5.4-mini'!A:A,0),$W$12))),"NOT FOUND")</f>
        <v>support with changes</v>
      </c>
      <c r="E44" t="str" cm="1">
        <f t="array" ref="E44">IFERROR(LOWER(TRIM(INDEX('claude-sonnet-4-6'!A:K,MATCH(A44,'claude-sonnet-4-6'!A:A,0),$W$12))),"NOT FOUND")</f>
        <v>support</v>
      </c>
      <c r="F44" t="b">
        <f t="shared" si="0"/>
        <v>0</v>
      </c>
      <c r="G44" t="str">
        <f t="shared" si="1"/>
        <v>N/A</v>
      </c>
      <c r="H44" t="b">
        <f t="shared" si="2"/>
        <v>0</v>
      </c>
      <c r="I44" t="str">
        <f t="shared" si="3"/>
        <v>No consensus</v>
      </c>
      <c r="J44" t="str">
        <f t="shared" si="4"/>
        <v/>
      </c>
      <c r="P44" t="str" cm="1">
        <f t="array" ref="P44">IFERROR(INDEX(_xlfn._xlws.SORT(_xlfn.UNIQUE(_xlfn._xlws.FILTER($B$2:$B$5000,$B$2:$B$5000&lt;&gt;"")),1,1),ROW()-41),"")</f>
        <v>support</v>
      </c>
      <c r="Q44">
        <f t="shared" si="7"/>
        <v>47</v>
      </c>
      <c r="R44" cm="1">
        <f t="array" aca="1" ref="R44" ca="1">IF(P44="","",SUMPRODUCT((OFFSET($B$2,0,0,$Q$2,1)=P44)*((OFFSET($B$2,0,0,$Q$2,1)=OFFSET($C$2,0,0,$Q$2,1))+(OFFSET($B$2,0,0,$Q$2,1)=OFFSET($D$2,0,0,$Q$2,1))+(OFFSET($B$2,0,0,$Q$2,1)=OFFSET($E$2,0,0,$Q$2,1))&gt;=2)))</f>
        <v>36</v>
      </c>
      <c r="S44" s="30">
        <f t="shared" ca="1" si="8"/>
        <v>0.76595744680851063</v>
      </c>
      <c r="T44" s="29" cm="1">
        <f t="array" aca="1" ref="T44" ca="1">IF(P44="","",SUMPRODUCT((OFFSET($B$2,0,0,$Q$2,1)=P44)*(OFFSET($H$2,0,0,$Q$2,1)=TRUE)))</f>
        <v>4</v>
      </c>
    </row>
    <row r="45" spans="1:20" x14ac:dyDescent="0.2">
      <c r="A45">
        <f>'Hand Coded'!A45</f>
        <v>2292</v>
      </c>
      <c r="B45" t="str" cm="1">
        <f t="array" ref="B45">LOWER(TRIM(INDEX('Hand Coded'!A:G,ROW(),$W$11)))</f>
        <v>support with changes</v>
      </c>
      <c r="C45" t="str" cm="1">
        <f t="array" ref="C45">IFERROR(LOWER(TRIM(INDEX('gemini-3.1-flash-lite-preview'!A:K,MATCH(A45,'gemini-3.1-flash-lite-preview'!A:A,0),$W$12))),"NOT FOUND")</f>
        <v>support with changes</v>
      </c>
      <c r="D45" t="str" cm="1">
        <f t="array" ref="D45">IFERROR(LOWER(TRIM(INDEX('gpt-5.4-mini'!A:K,MATCH(A45,'gpt-5.4-mini'!A:A,0),$W$12))),"NOT FOUND")</f>
        <v>neutral</v>
      </c>
      <c r="E45" t="str" cm="1">
        <f t="array" ref="E45">IFERROR(LOWER(TRIM(INDEX('claude-sonnet-4-6'!A:K,MATCH(A45,'claude-sonnet-4-6'!A:A,0),$W$12))),"NOT FOUND")</f>
        <v>support with changes</v>
      </c>
      <c r="F45" t="b">
        <f t="shared" si="0"/>
        <v>0</v>
      </c>
      <c r="G45" t="str">
        <f t="shared" si="1"/>
        <v>N/A</v>
      </c>
      <c r="H45" t="b">
        <f t="shared" si="2"/>
        <v>0</v>
      </c>
      <c r="I45" t="str">
        <f t="shared" si="3"/>
        <v>No consensus</v>
      </c>
      <c r="J45" t="str">
        <f t="shared" si="4"/>
        <v/>
      </c>
      <c r="P45" t="str" cm="1">
        <f t="array" ref="P45">IFERROR(INDEX(_xlfn._xlws.SORT(_xlfn.UNIQUE(_xlfn._xlws.FILTER($B$2:$B$5000,$B$2:$B$5000&lt;&gt;"")),1,1),ROW()-41),"")</f>
        <v>support with changes</v>
      </c>
      <c r="Q45">
        <f t="shared" si="7"/>
        <v>39</v>
      </c>
      <c r="R45" cm="1">
        <f t="array" aca="1" ref="R45" ca="1">IF(P45="","",SUMPRODUCT((OFFSET($B$2,0,0,$Q$2,1)=P45)*((OFFSET($B$2,0,0,$Q$2,1)=OFFSET($C$2,0,0,$Q$2,1))+(OFFSET($B$2,0,0,$Q$2,1)=OFFSET($D$2,0,0,$Q$2,1))+(OFFSET($B$2,0,0,$Q$2,1)=OFFSET($E$2,0,0,$Q$2,1))&gt;=2)))</f>
        <v>36</v>
      </c>
      <c r="S45" s="30">
        <f t="shared" ca="1" si="8"/>
        <v>0.92307692307692313</v>
      </c>
      <c r="T45" s="29" cm="1">
        <f t="array" aca="1" ref="T45" ca="1">IF(P45="","",SUMPRODUCT((OFFSET($B$2,0,0,$Q$2,1)=P45)*(OFFSET($H$2,0,0,$Q$2,1)=TRUE)))</f>
        <v>0</v>
      </c>
    </row>
    <row r="46" spans="1:20" x14ac:dyDescent="0.2">
      <c r="A46">
        <f>'Hand Coded'!A46</f>
        <v>2307</v>
      </c>
      <c r="B46" t="str" cm="1">
        <f t="array" ref="B46">LOWER(TRIM(INDEX('Hand Coded'!A:G,ROW(),$W$11)))</f>
        <v>support with changes</v>
      </c>
      <c r="C46" t="str" cm="1">
        <f t="array" ref="C46">IFERROR(LOWER(TRIM(INDEX('gemini-3.1-flash-lite-preview'!A:K,MATCH(A46,'gemini-3.1-flash-lite-preview'!A:A,0),$W$12))),"NOT FOUND")</f>
        <v>support with changes</v>
      </c>
      <c r="D46" t="str" cm="1">
        <f t="array" ref="D46">IFERROR(LOWER(TRIM(INDEX('gpt-5.4-mini'!A:K,MATCH(A46,'gpt-5.4-mini'!A:A,0),$W$12))),"NOT FOUND")</f>
        <v>support with changes</v>
      </c>
      <c r="E46" t="str" cm="1">
        <f t="array" ref="E46">IFERROR(LOWER(TRIM(INDEX('claude-sonnet-4-6'!A:K,MATCH(A46,'claude-sonnet-4-6'!A:A,0),$W$12))),"NOT FOUND")</f>
        <v>support with changes</v>
      </c>
      <c r="F46" t="b">
        <f t="shared" si="0"/>
        <v>1</v>
      </c>
      <c r="G46" t="b">
        <f t="shared" si="1"/>
        <v>1</v>
      </c>
      <c r="H46" t="b">
        <f t="shared" si="2"/>
        <v>0</v>
      </c>
      <c r="I46" t="str">
        <f t="shared" si="3"/>
        <v>support with changes</v>
      </c>
      <c r="J46" t="str">
        <f t="shared" si="4"/>
        <v/>
      </c>
      <c r="P46" t="str" cm="1">
        <f t="array" ref="P46">IFERROR(INDEX(_xlfn._xlws.SORT(_xlfn.UNIQUE(_xlfn._xlws.FILTER($B$2:$B$5000,$B$2:$B$5000&lt;&gt;"")),1,1),ROW()-41),"")</f>
        <v/>
      </c>
      <c r="Q46" t="str">
        <f t="shared" si="7"/>
        <v/>
      </c>
      <c r="R46" t="str" cm="1">
        <f t="array" aca="1" ref="R46" ca="1">IF(P46="","",SUMPRODUCT((OFFSET($B$2,0,0,$Q$2,1)=P46)*((OFFSET($B$2,0,0,$Q$2,1)=OFFSET($C$2,0,0,$Q$2,1))+(OFFSET($B$2,0,0,$Q$2,1)=OFFSET($D$2,0,0,$Q$2,1))+(OFFSET($B$2,0,0,$Q$2,1)=OFFSET($E$2,0,0,$Q$2,1))&gt;=2)))</f>
        <v/>
      </c>
      <c r="S46" s="30" t="str">
        <f t="shared" si="8"/>
        <v/>
      </c>
      <c r="T46" s="29" t="str" cm="1">
        <f t="array" aca="1" ref="T46" ca="1">IF(P46="","",SUMPRODUCT((OFFSET($B$2,0,0,$Q$2,1)=P46)*(OFFSET($H$2,0,0,$Q$2,1)=TRUE)))</f>
        <v/>
      </c>
    </row>
    <row r="47" spans="1:20" x14ac:dyDescent="0.2">
      <c r="A47">
        <f>'Hand Coded'!A47</f>
        <v>2326</v>
      </c>
      <c r="B47" t="str" cm="1">
        <f t="array" ref="B47">LOWER(TRIM(INDEX('Hand Coded'!A:G,ROW(),$W$11)))</f>
        <v>oppose</v>
      </c>
      <c r="C47" t="str" cm="1">
        <f t="array" ref="C47">IFERROR(LOWER(TRIM(INDEX('gemini-3.1-flash-lite-preview'!A:K,MATCH(A47,'gemini-3.1-flash-lite-preview'!A:A,0),$W$12))),"NOT FOUND")</f>
        <v>oppose</v>
      </c>
      <c r="D47" t="str" cm="1">
        <f t="array" ref="D47">IFERROR(LOWER(TRIM(INDEX('gpt-5.4-mini'!A:K,MATCH(A47,'gpt-5.4-mini'!A:A,0),$W$12))),"NOT FOUND")</f>
        <v>oppose</v>
      </c>
      <c r="E47" t="str" cm="1">
        <f t="array" ref="E47">IFERROR(LOWER(TRIM(INDEX('claude-sonnet-4-6'!A:K,MATCH(A47,'claude-sonnet-4-6'!A:A,0),$W$12))),"NOT FOUND")</f>
        <v>oppose</v>
      </c>
      <c r="F47" t="b">
        <f t="shared" si="0"/>
        <v>1</v>
      </c>
      <c r="G47" t="b">
        <f t="shared" si="1"/>
        <v>1</v>
      </c>
      <c r="H47" t="b">
        <f t="shared" si="2"/>
        <v>0</v>
      </c>
      <c r="I47" t="str">
        <f t="shared" si="3"/>
        <v>oppose</v>
      </c>
      <c r="J47" t="str">
        <f t="shared" si="4"/>
        <v/>
      </c>
      <c r="P47" t="str" cm="1">
        <f t="array" ref="P47">IFERROR(INDEX(_xlfn._xlws.SORT(_xlfn.UNIQUE(_xlfn._xlws.FILTER($B$2:$B$5000,$B$2:$B$5000&lt;&gt;"")),1,1),ROW()-41),"")</f>
        <v/>
      </c>
      <c r="Q47" t="str">
        <f t="shared" si="7"/>
        <v/>
      </c>
      <c r="R47" t="str" cm="1">
        <f t="array" aca="1" ref="R47" ca="1">IF(P47="","",SUMPRODUCT((OFFSET($B$2,0,0,$Q$2,1)=P47)*((OFFSET($B$2,0,0,$Q$2,1)=OFFSET($C$2,0,0,$Q$2,1))+(OFFSET($B$2,0,0,$Q$2,1)=OFFSET($D$2,0,0,$Q$2,1))+(OFFSET($B$2,0,0,$Q$2,1)=OFFSET($E$2,0,0,$Q$2,1))&gt;=2)))</f>
        <v/>
      </c>
      <c r="S47" s="30" t="str">
        <f t="shared" si="8"/>
        <v/>
      </c>
      <c r="T47" s="29" t="str" cm="1">
        <f t="array" aca="1" ref="T47" ca="1">IF(P47="","",SUMPRODUCT((OFFSET($B$2,0,0,$Q$2,1)=P47)*(OFFSET($H$2,0,0,$Q$2,1)=TRUE)))</f>
        <v/>
      </c>
    </row>
    <row r="48" spans="1:20" x14ac:dyDescent="0.2">
      <c r="A48">
        <f>'Hand Coded'!A48</f>
        <v>2335</v>
      </c>
      <c r="B48" t="str" cm="1">
        <f t="array" ref="B48">LOWER(TRIM(INDEX('Hand Coded'!A:G,ROW(),$W$11)))</f>
        <v>support with changes</v>
      </c>
      <c r="C48" t="str" cm="1">
        <f t="array" ref="C48">IFERROR(LOWER(TRIM(INDEX('gemini-3.1-flash-lite-preview'!A:K,MATCH(A48,'gemini-3.1-flash-lite-preview'!A:A,0),$W$12))),"NOT FOUND")</f>
        <v>support with changes</v>
      </c>
      <c r="D48" t="str" cm="1">
        <f t="array" ref="D48">IFERROR(LOWER(TRIM(INDEX('gpt-5.4-mini'!A:K,MATCH(A48,'gpt-5.4-mini'!A:A,0),$W$12))),"NOT FOUND")</f>
        <v>support with changes</v>
      </c>
      <c r="E48" t="str" cm="1">
        <f t="array" ref="E48">IFERROR(LOWER(TRIM(INDEX('claude-sonnet-4-6'!A:K,MATCH(A48,'claude-sonnet-4-6'!A:A,0),$W$12))),"NOT FOUND")</f>
        <v>support with changes</v>
      </c>
      <c r="F48" t="b">
        <f t="shared" si="0"/>
        <v>1</v>
      </c>
      <c r="G48" t="b">
        <f t="shared" si="1"/>
        <v>1</v>
      </c>
      <c r="H48" t="b">
        <f t="shared" si="2"/>
        <v>0</v>
      </c>
      <c r="I48" t="str">
        <f t="shared" si="3"/>
        <v>support with changes</v>
      </c>
      <c r="J48" t="str">
        <f t="shared" si="4"/>
        <v/>
      </c>
      <c r="P48" t="str" cm="1">
        <f t="array" ref="P48">IFERROR(INDEX(_xlfn._xlws.SORT(_xlfn.UNIQUE(_xlfn._xlws.FILTER($B$2:$B$5000,$B$2:$B$5000&lt;&gt;"")),1,1),ROW()-41),"")</f>
        <v/>
      </c>
      <c r="Q48" t="str">
        <f t="shared" si="7"/>
        <v/>
      </c>
      <c r="R48" t="str" cm="1">
        <f t="array" aca="1" ref="R48" ca="1">IF(P48="","",SUMPRODUCT((OFFSET($B$2,0,0,$Q$2,1)=P48)*((OFFSET($B$2,0,0,$Q$2,1)=OFFSET($C$2,0,0,$Q$2,1))+(OFFSET($B$2,0,0,$Q$2,1)=OFFSET($D$2,0,0,$Q$2,1))+(OFFSET($B$2,0,0,$Q$2,1)=OFFSET($E$2,0,0,$Q$2,1))&gt;=2)))</f>
        <v/>
      </c>
      <c r="S48" s="30" t="str">
        <f t="shared" si="8"/>
        <v/>
      </c>
      <c r="T48" s="29" t="str" cm="1">
        <f t="array" aca="1" ref="T48" ca="1">IF(P48="","",SUMPRODUCT((OFFSET($B$2,0,0,$Q$2,1)=P48)*(OFFSET($H$2,0,0,$Q$2,1)=TRUE)))</f>
        <v/>
      </c>
    </row>
    <row r="49" spans="1:20" x14ac:dyDescent="0.2">
      <c r="A49">
        <f>'Hand Coded'!A49</f>
        <v>2343</v>
      </c>
      <c r="B49" t="str" cm="1">
        <f t="array" ref="B49">LOWER(TRIM(INDEX('Hand Coded'!A:G,ROW(),$W$11)))</f>
        <v>neutral</v>
      </c>
      <c r="C49" t="str" cm="1">
        <f t="array" ref="C49">IFERROR(LOWER(TRIM(INDEX('gemini-3.1-flash-lite-preview'!A:K,MATCH(A49,'gemini-3.1-flash-lite-preview'!A:A,0),$W$12))),"NOT FOUND")</f>
        <v>neutral</v>
      </c>
      <c r="D49" t="str" cm="1">
        <f t="array" ref="D49">IFERROR(LOWER(TRIM(INDEX('gpt-5.4-mini'!A:K,MATCH(A49,'gpt-5.4-mini'!A:A,0),$W$12))),"NOT FOUND")</f>
        <v>neutral</v>
      </c>
      <c r="E49" t="str" cm="1">
        <f t="array" ref="E49">IFERROR(LOWER(TRIM(INDEX('claude-sonnet-4-6'!A:K,MATCH(A49,'claude-sonnet-4-6'!A:A,0),$W$12))),"NOT FOUND")</f>
        <v>neutral</v>
      </c>
      <c r="F49" t="b">
        <f t="shared" si="0"/>
        <v>1</v>
      </c>
      <c r="G49" t="b">
        <f t="shared" si="1"/>
        <v>1</v>
      </c>
      <c r="H49" t="b">
        <f t="shared" si="2"/>
        <v>0</v>
      </c>
      <c r="I49" t="str">
        <f t="shared" si="3"/>
        <v>neutral</v>
      </c>
      <c r="J49" t="str">
        <f t="shared" si="4"/>
        <v/>
      </c>
      <c r="P49" t="str" cm="1">
        <f t="array" ref="P49">IFERROR(INDEX(_xlfn._xlws.SORT(_xlfn.UNIQUE(_xlfn._xlws.FILTER($B$2:$B$5000,$B$2:$B$5000&lt;&gt;"")),1,1),ROW()-41),"")</f>
        <v/>
      </c>
      <c r="Q49" t="str">
        <f t="shared" si="7"/>
        <v/>
      </c>
      <c r="R49" t="str" cm="1">
        <f t="array" aca="1" ref="R49" ca="1">IF(P49="","",SUMPRODUCT((OFFSET($B$2,0,0,$Q$2,1)=P49)*((OFFSET($B$2,0,0,$Q$2,1)=OFFSET($C$2,0,0,$Q$2,1))+(OFFSET($B$2,0,0,$Q$2,1)=OFFSET($D$2,0,0,$Q$2,1))+(OFFSET($B$2,0,0,$Q$2,1)=OFFSET($E$2,0,0,$Q$2,1))&gt;=2)))</f>
        <v/>
      </c>
      <c r="S49" s="30" t="str">
        <f t="shared" si="8"/>
        <v/>
      </c>
      <c r="T49" s="29" t="str" cm="1">
        <f t="array" aca="1" ref="T49" ca="1">IF(P49="","",SUMPRODUCT((OFFSET($B$2,0,0,$Q$2,1)=P49)*(OFFSET($H$2,0,0,$Q$2,1)=TRUE)))</f>
        <v/>
      </c>
    </row>
    <row r="50" spans="1:20" x14ac:dyDescent="0.2">
      <c r="A50">
        <f>'Hand Coded'!A50</f>
        <v>2448</v>
      </c>
      <c r="B50" t="str" cm="1">
        <f t="array" ref="B50">LOWER(TRIM(INDEX('Hand Coded'!A:G,ROW(),$W$11)))</f>
        <v>oppose</v>
      </c>
      <c r="C50" t="str" cm="1">
        <f t="array" ref="C50">IFERROR(LOWER(TRIM(INDEX('gemini-3.1-flash-lite-preview'!A:K,MATCH(A50,'gemini-3.1-flash-lite-preview'!A:A,0),$W$12))),"NOT FOUND")</f>
        <v>oppose</v>
      </c>
      <c r="D50" t="str" cm="1">
        <f t="array" ref="D50">IFERROR(LOWER(TRIM(INDEX('gpt-5.4-mini'!A:K,MATCH(A50,'gpt-5.4-mini'!A:A,0),$W$12))),"NOT FOUND")</f>
        <v>oppose</v>
      </c>
      <c r="E50" t="str" cm="1">
        <f t="array" ref="E50">IFERROR(LOWER(TRIM(INDEX('claude-sonnet-4-6'!A:K,MATCH(A50,'claude-sonnet-4-6'!A:A,0),$W$12))),"NOT FOUND")</f>
        <v>oppose</v>
      </c>
      <c r="F50" t="b">
        <f t="shared" si="0"/>
        <v>1</v>
      </c>
      <c r="G50" t="b">
        <f t="shared" si="1"/>
        <v>1</v>
      </c>
      <c r="H50" t="b">
        <f t="shared" si="2"/>
        <v>0</v>
      </c>
      <c r="I50" t="str">
        <f t="shared" si="3"/>
        <v>oppose</v>
      </c>
      <c r="J50" t="str">
        <f t="shared" si="4"/>
        <v/>
      </c>
      <c r="P50" t="str" cm="1">
        <f t="array" ref="P50">IFERROR(INDEX(_xlfn._xlws.SORT(_xlfn.UNIQUE(_xlfn._xlws.FILTER($B$2:$B$5000,$B$2:$B$5000&lt;&gt;"")),1,1),ROW()-41),"")</f>
        <v/>
      </c>
      <c r="Q50" t="str">
        <f t="shared" si="7"/>
        <v/>
      </c>
      <c r="R50" t="str" cm="1">
        <f t="array" aca="1" ref="R50" ca="1">IF(P50="","",SUMPRODUCT((OFFSET($B$2,0,0,$Q$2,1)=P50)*((OFFSET($B$2,0,0,$Q$2,1)=OFFSET($C$2,0,0,$Q$2,1))+(OFFSET($B$2,0,0,$Q$2,1)=OFFSET($D$2,0,0,$Q$2,1))+(OFFSET($B$2,0,0,$Q$2,1)=OFFSET($E$2,0,0,$Q$2,1))&gt;=2)))</f>
        <v/>
      </c>
      <c r="S50" s="30" t="str">
        <f t="shared" si="8"/>
        <v/>
      </c>
      <c r="T50" s="29" t="str" cm="1">
        <f t="array" aca="1" ref="T50" ca="1">IF(P50="","",SUMPRODUCT((OFFSET($B$2,0,0,$Q$2,1)=P50)*(OFFSET($H$2,0,0,$Q$2,1)=TRUE)))</f>
        <v/>
      </c>
    </row>
    <row r="51" spans="1:20" x14ac:dyDescent="0.2">
      <c r="A51">
        <f>'Hand Coded'!A51</f>
        <v>2480</v>
      </c>
      <c r="B51" t="str" cm="1">
        <f t="array" ref="B51">LOWER(TRIM(INDEX('Hand Coded'!A:G,ROW(),$W$11)))</f>
        <v>oppose</v>
      </c>
      <c r="C51" t="str" cm="1">
        <f t="array" ref="C51">IFERROR(LOWER(TRIM(INDEX('gemini-3.1-flash-lite-preview'!A:K,MATCH(A51,'gemini-3.1-flash-lite-preview'!A:A,0),$W$12))),"NOT FOUND")</f>
        <v>oppose</v>
      </c>
      <c r="D51" t="str" cm="1">
        <f t="array" ref="D51">IFERROR(LOWER(TRIM(INDEX('gpt-5.4-mini'!A:K,MATCH(A51,'gpt-5.4-mini'!A:A,0),$W$12))),"NOT FOUND")</f>
        <v>oppose</v>
      </c>
      <c r="E51" t="str" cm="1">
        <f t="array" ref="E51">IFERROR(LOWER(TRIM(INDEX('claude-sonnet-4-6'!A:K,MATCH(A51,'claude-sonnet-4-6'!A:A,0),$W$12))),"NOT FOUND")</f>
        <v>oppose</v>
      </c>
      <c r="F51" t="b">
        <f t="shared" si="0"/>
        <v>1</v>
      </c>
      <c r="G51" t="b">
        <f t="shared" si="1"/>
        <v>1</v>
      </c>
      <c r="H51" t="b">
        <f t="shared" si="2"/>
        <v>0</v>
      </c>
      <c r="I51" t="str">
        <f t="shared" si="3"/>
        <v>oppose</v>
      </c>
      <c r="J51" t="str">
        <f t="shared" si="4"/>
        <v/>
      </c>
      <c r="P51" t="str" cm="1">
        <f t="array" ref="P51">IFERROR(INDEX(_xlfn._xlws.SORT(_xlfn.UNIQUE(_xlfn._xlws.FILTER($B$2:$B$5000,$B$2:$B$5000&lt;&gt;"")),1,1),ROW()-41),"")</f>
        <v/>
      </c>
      <c r="Q51" t="str">
        <f t="shared" si="7"/>
        <v/>
      </c>
      <c r="R51" t="str" cm="1">
        <f t="array" aca="1" ref="R51" ca="1">IF(P51="","",SUMPRODUCT((OFFSET($B$2,0,0,$Q$2,1)=P51)*((OFFSET($B$2,0,0,$Q$2,1)=OFFSET($C$2,0,0,$Q$2,1))+(OFFSET($B$2,0,0,$Q$2,1)=OFFSET($D$2,0,0,$Q$2,1))+(OFFSET($B$2,0,0,$Q$2,1)=OFFSET($E$2,0,0,$Q$2,1))&gt;=2)))</f>
        <v/>
      </c>
      <c r="S51" s="30" t="str">
        <f t="shared" si="8"/>
        <v/>
      </c>
      <c r="T51" s="29" t="str" cm="1">
        <f t="array" aca="1" ref="T51" ca="1">IF(P51="","",SUMPRODUCT((OFFSET($B$2,0,0,$Q$2,1)=P51)*(OFFSET($H$2,0,0,$Q$2,1)=TRUE)))</f>
        <v/>
      </c>
    </row>
    <row r="52" spans="1:20" x14ac:dyDescent="0.2">
      <c r="A52">
        <f>'Hand Coded'!A52</f>
        <v>2483</v>
      </c>
      <c r="B52" t="str" cm="1">
        <f t="array" ref="B52">LOWER(TRIM(INDEX('Hand Coded'!A:G,ROW(),$W$11)))</f>
        <v>oppose</v>
      </c>
      <c r="C52" t="str" cm="1">
        <f t="array" ref="C52">IFERROR(LOWER(TRIM(INDEX('gemini-3.1-flash-lite-preview'!A:K,MATCH(A52,'gemini-3.1-flash-lite-preview'!A:A,0),$W$12))),"NOT FOUND")</f>
        <v>oppose</v>
      </c>
      <c r="D52" t="str" cm="1">
        <f t="array" ref="D52">IFERROR(LOWER(TRIM(INDEX('gpt-5.4-mini'!A:K,MATCH(A52,'gpt-5.4-mini'!A:A,0),$W$12))),"NOT FOUND")</f>
        <v>oppose</v>
      </c>
      <c r="E52" t="str" cm="1">
        <f t="array" ref="E52">IFERROR(LOWER(TRIM(INDEX('claude-sonnet-4-6'!A:K,MATCH(A52,'claude-sonnet-4-6'!A:A,0),$W$12))),"NOT FOUND")</f>
        <v>oppose</v>
      </c>
      <c r="F52" t="b">
        <f t="shared" si="0"/>
        <v>1</v>
      </c>
      <c r="G52" t="b">
        <f t="shared" si="1"/>
        <v>1</v>
      </c>
      <c r="H52" t="b">
        <f t="shared" si="2"/>
        <v>0</v>
      </c>
      <c r="I52" t="str">
        <f t="shared" si="3"/>
        <v>oppose</v>
      </c>
      <c r="J52" t="str">
        <f t="shared" si="4"/>
        <v/>
      </c>
      <c r="P52" t="str" cm="1">
        <f t="array" ref="P52">IFERROR(INDEX(_xlfn._xlws.SORT(_xlfn.UNIQUE(_xlfn._xlws.FILTER($B$2:$B$5000,$B$2:$B$5000&lt;&gt;"")),1,1),ROW()-41),"")</f>
        <v/>
      </c>
      <c r="Q52" t="str">
        <f t="shared" si="7"/>
        <v/>
      </c>
      <c r="R52" t="str" cm="1">
        <f t="array" aca="1" ref="R52" ca="1">IF(P52="","",SUMPRODUCT((OFFSET($B$2,0,0,$Q$2,1)=P52)*((OFFSET($B$2,0,0,$Q$2,1)=OFFSET($C$2,0,0,$Q$2,1))+(OFFSET($B$2,0,0,$Q$2,1)=OFFSET($D$2,0,0,$Q$2,1))+(OFFSET($B$2,0,0,$Q$2,1)=OFFSET($E$2,0,0,$Q$2,1))&gt;=2)))</f>
        <v/>
      </c>
      <c r="S52" s="30" t="str">
        <f t="shared" si="8"/>
        <v/>
      </c>
      <c r="T52" s="29" t="str" cm="1">
        <f t="array" aca="1" ref="T52" ca="1">IF(P52="","",SUMPRODUCT((OFFSET($B$2,0,0,$Q$2,1)=P52)*(OFFSET($H$2,0,0,$Q$2,1)=TRUE)))</f>
        <v/>
      </c>
    </row>
    <row r="53" spans="1:20" x14ac:dyDescent="0.2">
      <c r="A53">
        <f>'Hand Coded'!A53</f>
        <v>2508</v>
      </c>
      <c r="B53" t="str" cm="1">
        <f t="array" ref="B53">LOWER(TRIM(INDEX('Hand Coded'!A:G,ROW(),$W$11)))</f>
        <v>support with changes</v>
      </c>
      <c r="C53" t="str" cm="1">
        <f t="array" ref="C53">IFERROR(LOWER(TRIM(INDEX('gemini-3.1-flash-lite-preview'!A:K,MATCH(A53,'gemini-3.1-flash-lite-preview'!A:A,0),$W$12))),"NOT FOUND")</f>
        <v>support</v>
      </c>
      <c r="D53" t="str" cm="1">
        <f t="array" ref="D53">IFERROR(LOWER(TRIM(INDEX('gpt-5.4-mini'!A:K,MATCH(A53,'gpt-5.4-mini'!A:A,0),$W$12))),"NOT FOUND")</f>
        <v>support with changes</v>
      </c>
      <c r="E53" t="str" cm="1">
        <f t="array" ref="E53">IFERROR(LOWER(TRIM(INDEX('claude-sonnet-4-6'!A:K,MATCH(A53,'claude-sonnet-4-6'!A:A,0),$W$12))),"NOT FOUND")</f>
        <v>support with changes</v>
      </c>
      <c r="F53" t="b">
        <f t="shared" si="0"/>
        <v>0</v>
      </c>
      <c r="G53" t="str">
        <f t="shared" si="1"/>
        <v>N/A</v>
      </c>
      <c r="H53" t="b">
        <f t="shared" si="2"/>
        <v>0</v>
      </c>
      <c r="I53" t="str">
        <f t="shared" si="3"/>
        <v>No consensus</v>
      </c>
      <c r="J53" t="str">
        <f t="shared" si="4"/>
        <v/>
      </c>
      <c r="P53" t="str" cm="1">
        <f t="array" ref="P53">IFERROR(INDEX(_xlfn._xlws.SORT(_xlfn.UNIQUE(_xlfn._xlws.FILTER($B$2:$B$5000,$B$2:$B$5000&lt;&gt;"")),1,1),ROW()-41),"")</f>
        <v/>
      </c>
      <c r="Q53" t="str">
        <f t="shared" si="7"/>
        <v/>
      </c>
      <c r="R53" t="str" cm="1">
        <f t="array" aca="1" ref="R53" ca="1">IF(P53="","",SUMPRODUCT((OFFSET($B$2,0,0,$Q$2,1)=P53)*((OFFSET($B$2,0,0,$Q$2,1)=OFFSET($C$2,0,0,$Q$2,1))+(OFFSET($B$2,0,0,$Q$2,1)=OFFSET($D$2,0,0,$Q$2,1))+(OFFSET($B$2,0,0,$Q$2,1)=OFFSET($E$2,0,0,$Q$2,1))&gt;=2)))</f>
        <v/>
      </c>
      <c r="S53" s="30" t="str">
        <f t="shared" si="8"/>
        <v/>
      </c>
      <c r="T53" s="29" t="str" cm="1">
        <f t="array" aca="1" ref="T53" ca="1">IF(P53="","",SUMPRODUCT((OFFSET($B$2,0,0,$Q$2,1)=P53)*(OFFSET($H$2,0,0,$Q$2,1)=TRUE)))</f>
        <v/>
      </c>
    </row>
    <row r="54" spans="1:20" x14ac:dyDescent="0.2">
      <c r="A54">
        <f>'Hand Coded'!A54</f>
        <v>2522</v>
      </c>
      <c r="B54" t="str" cm="1">
        <f t="array" ref="B54">LOWER(TRIM(INDEX('Hand Coded'!A:G,ROW(),$W$11)))</f>
        <v>oppose</v>
      </c>
      <c r="C54" t="str" cm="1">
        <f t="array" ref="C54">IFERROR(LOWER(TRIM(INDEX('gemini-3.1-flash-lite-preview'!A:K,MATCH(A54,'gemini-3.1-flash-lite-preview'!A:A,0),$W$12))),"NOT FOUND")</f>
        <v>oppose</v>
      </c>
      <c r="D54" t="str" cm="1">
        <f t="array" ref="D54">IFERROR(LOWER(TRIM(INDEX('gpt-5.4-mini'!A:K,MATCH(A54,'gpt-5.4-mini'!A:A,0),$W$12))),"NOT FOUND")</f>
        <v>oppose</v>
      </c>
      <c r="E54" t="str" cm="1">
        <f t="array" ref="E54">IFERROR(LOWER(TRIM(INDEX('claude-sonnet-4-6'!A:K,MATCH(A54,'claude-sonnet-4-6'!A:A,0),$W$12))),"NOT FOUND")</f>
        <v>oppose</v>
      </c>
      <c r="F54" t="b">
        <f t="shared" si="0"/>
        <v>1</v>
      </c>
      <c r="G54" t="b">
        <f t="shared" si="1"/>
        <v>1</v>
      </c>
      <c r="H54" t="b">
        <f t="shared" si="2"/>
        <v>0</v>
      </c>
      <c r="I54" t="str">
        <f t="shared" si="3"/>
        <v>oppose</v>
      </c>
      <c r="J54" t="str">
        <f t="shared" si="4"/>
        <v/>
      </c>
      <c r="P54" t="str" cm="1">
        <f t="array" ref="P54">IFERROR(INDEX(_xlfn._xlws.SORT(_xlfn.UNIQUE(_xlfn._xlws.FILTER($B$2:$B$5000,$B$2:$B$5000&lt;&gt;"")),1,1),ROW()-41),"")</f>
        <v/>
      </c>
      <c r="Q54" t="str">
        <f t="shared" si="7"/>
        <v/>
      </c>
      <c r="R54" t="str" cm="1">
        <f t="array" aca="1" ref="R54" ca="1">IF(P54="","",SUMPRODUCT((OFFSET($B$2,0,0,$Q$2,1)=P54)*((OFFSET($B$2,0,0,$Q$2,1)=OFFSET($C$2,0,0,$Q$2,1))+(OFFSET($B$2,0,0,$Q$2,1)=OFFSET($D$2,0,0,$Q$2,1))+(OFFSET($B$2,0,0,$Q$2,1)=OFFSET($E$2,0,0,$Q$2,1))&gt;=2)))</f>
        <v/>
      </c>
      <c r="S54" s="30" t="str">
        <f t="shared" si="8"/>
        <v/>
      </c>
      <c r="T54" s="29" t="str" cm="1">
        <f t="array" aca="1" ref="T54" ca="1">IF(P54="","",SUMPRODUCT((OFFSET($B$2,0,0,$Q$2,1)=P54)*(OFFSET($H$2,0,0,$Q$2,1)=TRUE)))</f>
        <v/>
      </c>
    </row>
    <row r="55" spans="1:20" x14ac:dyDescent="0.2">
      <c r="A55">
        <f>'Hand Coded'!A55</f>
        <v>2534</v>
      </c>
      <c r="B55" t="str" cm="1">
        <f t="array" ref="B55">LOWER(TRIM(INDEX('Hand Coded'!A:G,ROW(),$W$11)))</f>
        <v>neutral</v>
      </c>
      <c r="C55" t="str" cm="1">
        <f t="array" ref="C55">IFERROR(LOWER(TRIM(INDEX('gemini-3.1-flash-lite-preview'!A:K,MATCH(A55,'gemini-3.1-flash-lite-preview'!A:A,0),$W$12))),"NOT FOUND")</f>
        <v>neutral</v>
      </c>
      <c r="D55" t="str" cm="1">
        <f t="array" ref="D55">IFERROR(LOWER(TRIM(INDEX('gpt-5.4-mini'!A:K,MATCH(A55,'gpt-5.4-mini'!A:A,0),$W$12))),"NOT FOUND")</f>
        <v>neutral</v>
      </c>
      <c r="E55" t="str" cm="1">
        <f t="array" ref="E55">IFERROR(LOWER(TRIM(INDEX('claude-sonnet-4-6'!A:K,MATCH(A55,'claude-sonnet-4-6'!A:A,0),$W$12))),"NOT FOUND")</f>
        <v>neutral</v>
      </c>
      <c r="F55" t="b">
        <f t="shared" si="0"/>
        <v>1</v>
      </c>
      <c r="G55" t="b">
        <f t="shared" si="1"/>
        <v>1</v>
      </c>
      <c r="H55" t="b">
        <f t="shared" si="2"/>
        <v>0</v>
      </c>
      <c r="I55" t="str">
        <f t="shared" si="3"/>
        <v>neutral</v>
      </c>
      <c r="J55" t="str">
        <f t="shared" si="4"/>
        <v/>
      </c>
      <c r="P55" t="str" cm="1">
        <f t="array" ref="P55">IFERROR(INDEX(_xlfn._xlws.SORT(_xlfn.UNIQUE(_xlfn._xlws.FILTER($B$2:$B$5000,$B$2:$B$5000&lt;&gt;"")),1,1),ROW()-41),"")</f>
        <v/>
      </c>
      <c r="Q55" t="str">
        <f t="shared" si="7"/>
        <v/>
      </c>
      <c r="R55" t="str" cm="1">
        <f t="array" aca="1" ref="R55" ca="1">IF(P55="","",SUMPRODUCT((OFFSET($B$2,0,0,$Q$2,1)=P55)*((OFFSET($B$2,0,0,$Q$2,1)=OFFSET($C$2,0,0,$Q$2,1))+(OFFSET($B$2,0,0,$Q$2,1)=OFFSET($D$2,0,0,$Q$2,1))+(OFFSET($B$2,0,0,$Q$2,1)=OFFSET($E$2,0,0,$Q$2,1))&gt;=2)))</f>
        <v/>
      </c>
      <c r="S55" s="30" t="str">
        <f t="shared" si="8"/>
        <v/>
      </c>
      <c r="T55" s="29" t="str" cm="1">
        <f t="array" aca="1" ref="T55" ca="1">IF(P55="","",SUMPRODUCT((OFFSET($B$2,0,0,$Q$2,1)=P55)*(OFFSET($H$2,0,0,$Q$2,1)=TRUE)))</f>
        <v/>
      </c>
    </row>
    <row r="56" spans="1:20" x14ac:dyDescent="0.2">
      <c r="A56">
        <f>'Hand Coded'!A56</f>
        <v>2747</v>
      </c>
      <c r="B56" t="str" cm="1">
        <f t="array" ref="B56">LOWER(TRIM(INDEX('Hand Coded'!A:G,ROW(),$W$11)))</f>
        <v>support with changes</v>
      </c>
      <c r="C56" t="str" cm="1">
        <f t="array" ref="C56">IFERROR(LOWER(TRIM(INDEX('gemini-3.1-flash-lite-preview'!A:K,MATCH(A56,'gemini-3.1-flash-lite-preview'!A:A,0),$W$12))),"NOT FOUND")</f>
        <v>support with changes</v>
      </c>
      <c r="D56" t="str" cm="1">
        <f t="array" ref="D56">IFERROR(LOWER(TRIM(INDEX('gpt-5.4-mini'!A:K,MATCH(A56,'gpt-5.4-mini'!A:A,0),$W$12))),"NOT FOUND")</f>
        <v>support</v>
      </c>
      <c r="E56" t="str" cm="1">
        <f t="array" ref="E56">IFERROR(LOWER(TRIM(INDEX('claude-sonnet-4-6'!A:K,MATCH(A56,'claude-sonnet-4-6'!A:A,0),$W$12))),"NOT FOUND")</f>
        <v>support with changes</v>
      </c>
      <c r="F56" t="b">
        <f t="shared" si="0"/>
        <v>0</v>
      </c>
      <c r="G56" t="str">
        <f t="shared" si="1"/>
        <v>N/A</v>
      </c>
      <c r="H56" t="b">
        <f t="shared" si="2"/>
        <v>0</v>
      </c>
      <c r="I56" t="str">
        <f t="shared" si="3"/>
        <v>No consensus</v>
      </c>
      <c r="J56" t="str">
        <f t="shared" si="4"/>
        <v/>
      </c>
      <c r="P56" t="str" cm="1">
        <f t="array" ref="P56">IFERROR(INDEX(_xlfn._xlws.SORT(_xlfn.UNIQUE(_xlfn._xlws.FILTER($B$2:$B$5000,$B$2:$B$5000&lt;&gt;"")),1,1),ROW()-41),"")</f>
        <v/>
      </c>
      <c r="Q56" t="str">
        <f t="shared" si="7"/>
        <v/>
      </c>
      <c r="R56" t="str" cm="1">
        <f t="array" aca="1" ref="R56" ca="1">IF(P56="","",SUMPRODUCT((OFFSET($B$2,0,0,$Q$2,1)=P56)*((OFFSET($B$2,0,0,$Q$2,1)=OFFSET($C$2,0,0,$Q$2,1))+(OFFSET($B$2,0,0,$Q$2,1)=OFFSET($D$2,0,0,$Q$2,1))+(OFFSET($B$2,0,0,$Q$2,1)=OFFSET($E$2,0,0,$Q$2,1))&gt;=2)))</f>
        <v/>
      </c>
      <c r="S56" s="30" t="str">
        <f t="shared" si="8"/>
        <v/>
      </c>
      <c r="T56" s="29" t="str" cm="1">
        <f t="array" aca="1" ref="T56" ca="1">IF(P56="","",SUMPRODUCT((OFFSET($B$2,0,0,$Q$2,1)=P56)*(OFFSET($H$2,0,0,$Q$2,1)=TRUE)))</f>
        <v/>
      </c>
    </row>
    <row r="57" spans="1:20" x14ac:dyDescent="0.2">
      <c r="A57">
        <f>'Hand Coded'!A57</f>
        <v>2782</v>
      </c>
      <c r="B57" t="str" cm="1">
        <f t="array" ref="B57">LOWER(TRIM(INDEX('Hand Coded'!A:G,ROW(),$W$11)))</f>
        <v>support</v>
      </c>
      <c r="C57" t="str" cm="1">
        <f t="array" ref="C57">IFERROR(LOWER(TRIM(INDEX('gemini-3.1-flash-lite-preview'!A:K,MATCH(A57,'gemini-3.1-flash-lite-preview'!A:A,0),$W$12))),"NOT FOUND")</f>
        <v>support</v>
      </c>
      <c r="D57" t="str" cm="1">
        <f t="array" ref="D57">IFERROR(LOWER(TRIM(INDEX('gpt-5.4-mini'!A:K,MATCH(A57,'gpt-5.4-mini'!A:A,0),$W$12))),"NOT FOUND")</f>
        <v>oppose</v>
      </c>
      <c r="E57" t="str" cm="1">
        <f t="array" ref="E57">IFERROR(LOWER(TRIM(INDEX('claude-sonnet-4-6'!A:K,MATCH(A57,'claude-sonnet-4-6'!A:A,0),$W$12))),"NOT FOUND")</f>
        <v>support</v>
      </c>
      <c r="F57" t="b">
        <f t="shared" si="0"/>
        <v>0</v>
      </c>
      <c r="G57" t="str">
        <f t="shared" si="1"/>
        <v>N/A</v>
      </c>
      <c r="H57" t="b">
        <f t="shared" si="2"/>
        <v>0</v>
      </c>
      <c r="I57" t="str">
        <f t="shared" si="3"/>
        <v>No consensus</v>
      </c>
      <c r="J57" t="str">
        <f t="shared" si="4"/>
        <v/>
      </c>
    </row>
    <row r="58" spans="1:20" x14ac:dyDescent="0.2">
      <c r="A58">
        <f>'Hand Coded'!A58</f>
        <v>2814</v>
      </c>
      <c r="B58" t="str" cm="1">
        <f t="array" ref="B58">LOWER(TRIM(INDEX('Hand Coded'!A:G,ROW(),$W$11)))</f>
        <v>neutral</v>
      </c>
      <c r="C58" t="str" cm="1">
        <f t="array" ref="C58">IFERROR(LOWER(TRIM(INDEX('gemini-3.1-flash-lite-preview'!A:K,MATCH(A58,'gemini-3.1-flash-lite-preview'!A:A,0),$W$12))),"NOT FOUND")</f>
        <v>neutral</v>
      </c>
      <c r="D58" t="str" cm="1">
        <f t="array" ref="D58">IFERROR(LOWER(TRIM(INDEX('gpt-5.4-mini'!A:K,MATCH(A58,'gpt-5.4-mini'!A:A,0),$W$12))),"NOT FOUND")</f>
        <v>neutral</v>
      </c>
      <c r="E58" t="str" cm="1">
        <f t="array" ref="E58">IFERROR(LOWER(TRIM(INDEX('claude-sonnet-4-6'!A:K,MATCH(A58,'claude-sonnet-4-6'!A:A,0),$W$12))),"NOT FOUND")</f>
        <v>neutral</v>
      </c>
      <c r="F58" t="b">
        <f t="shared" si="0"/>
        <v>1</v>
      </c>
      <c r="G58" t="b">
        <f t="shared" si="1"/>
        <v>1</v>
      </c>
      <c r="H58" t="b">
        <f t="shared" si="2"/>
        <v>0</v>
      </c>
      <c r="I58" t="str">
        <f t="shared" si="3"/>
        <v>neutral</v>
      </c>
      <c r="J58" t="str">
        <f t="shared" si="4"/>
        <v/>
      </c>
    </row>
    <row r="59" spans="1:20" x14ac:dyDescent="0.2">
      <c r="A59">
        <f>'Hand Coded'!A59</f>
        <v>2838</v>
      </c>
      <c r="B59" t="str" cm="1">
        <f t="array" ref="B59">LOWER(TRIM(INDEX('Hand Coded'!A:G,ROW(),$W$11)))</f>
        <v>support with changes</v>
      </c>
      <c r="C59" t="str" cm="1">
        <f t="array" ref="C59">IFERROR(LOWER(TRIM(INDEX('gemini-3.1-flash-lite-preview'!A:K,MATCH(A59,'gemini-3.1-flash-lite-preview'!A:A,0),$W$12))),"NOT FOUND")</f>
        <v>support with changes</v>
      </c>
      <c r="D59" t="str" cm="1">
        <f t="array" ref="D59">IFERROR(LOWER(TRIM(INDEX('gpt-5.4-mini'!A:K,MATCH(A59,'gpt-5.4-mini'!A:A,0),$W$12))),"NOT FOUND")</f>
        <v>support with changes</v>
      </c>
      <c r="E59" t="str" cm="1">
        <f t="array" ref="E59">IFERROR(LOWER(TRIM(INDEX('claude-sonnet-4-6'!A:K,MATCH(A59,'claude-sonnet-4-6'!A:A,0),$W$12))),"NOT FOUND")</f>
        <v>support with changes</v>
      </c>
      <c r="F59" t="b">
        <f t="shared" si="0"/>
        <v>1</v>
      </c>
      <c r="G59" t="b">
        <f t="shared" si="1"/>
        <v>1</v>
      </c>
      <c r="H59" t="b">
        <f t="shared" si="2"/>
        <v>0</v>
      </c>
      <c r="I59" t="str">
        <f t="shared" si="3"/>
        <v>support with changes</v>
      </c>
      <c r="J59" t="str">
        <f t="shared" si="4"/>
        <v/>
      </c>
    </row>
    <row r="60" spans="1:20" x14ac:dyDescent="0.2">
      <c r="A60">
        <f>'Hand Coded'!A60</f>
        <v>2889</v>
      </c>
      <c r="B60" t="str" cm="1">
        <f t="array" ref="B60">LOWER(TRIM(INDEX('Hand Coded'!A:G,ROW(),$W$11)))</f>
        <v>support</v>
      </c>
      <c r="C60" t="str" cm="1">
        <f t="array" ref="C60">IFERROR(LOWER(TRIM(INDEX('gemini-3.1-flash-lite-preview'!A:K,MATCH(A60,'gemini-3.1-flash-lite-preview'!A:A,0),$W$12))),"NOT FOUND")</f>
        <v>support</v>
      </c>
      <c r="D60" t="str" cm="1">
        <f t="array" ref="D60">IFERROR(LOWER(TRIM(INDEX('gpt-5.4-mini'!A:K,MATCH(A60,'gpt-5.4-mini'!A:A,0),$W$12))),"NOT FOUND")</f>
        <v>support</v>
      </c>
      <c r="E60" t="str" cm="1">
        <f t="array" ref="E60">IFERROR(LOWER(TRIM(INDEX('claude-sonnet-4-6'!A:K,MATCH(A60,'claude-sonnet-4-6'!A:A,0),$W$12))),"NOT FOUND")</f>
        <v>support</v>
      </c>
      <c r="F60" t="b">
        <f t="shared" si="0"/>
        <v>1</v>
      </c>
      <c r="G60" t="b">
        <f t="shared" si="1"/>
        <v>1</v>
      </c>
      <c r="H60" t="b">
        <f t="shared" si="2"/>
        <v>0</v>
      </c>
      <c r="I60" t="str">
        <f t="shared" si="3"/>
        <v>support</v>
      </c>
      <c r="J60" t="str">
        <f t="shared" si="4"/>
        <v/>
      </c>
    </row>
    <row r="61" spans="1:20" x14ac:dyDescent="0.2">
      <c r="A61">
        <f>'Hand Coded'!A61</f>
        <v>2910</v>
      </c>
      <c r="B61" t="str" cm="1">
        <f t="array" ref="B61">LOWER(TRIM(INDEX('Hand Coded'!A:G,ROW(),$W$11)))</f>
        <v>oppose</v>
      </c>
      <c r="C61" t="str" cm="1">
        <f t="array" ref="C61">IFERROR(LOWER(TRIM(INDEX('gemini-3.1-flash-lite-preview'!A:K,MATCH(A61,'gemini-3.1-flash-lite-preview'!A:A,0),$W$12))),"NOT FOUND")</f>
        <v>oppose</v>
      </c>
      <c r="D61" t="str" cm="1">
        <f t="array" ref="D61">IFERROR(LOWER(TRIM(INDEX('gpt-5.4-mini'!A:K,MATCH(A61,'gpt-5.4-mini'!A:A,0),$W$12))),"NOT FOUND")</f>
        <v>oppose</v>
      </c>
      <c r="E61" t="str" cm="1">
        <f t="array" ref="E61">IFERROR(LOWER(TRIM(INDEX('claude-sonnet-4-6'!A:K,MATCH(A61,'claude-sonnet-4-6'!A:A,0),$W$12))),"NOT FOUND")</f>
        <v>oppose</v>
      </c>
      <c r="F61" t="b">
        <f t="shared" si="0"/>
        <v>1</v>
      </c>
      <c r="G61" t="b">
        <f t="shared" si="1"/>
        <v>1</v>
      </c>
      <c r="H61" t="b">
        <f t="shared" si="2"/>
        <v>0</v>
      </c>
      <c r="I61" t="str">
        <f t="shared" si="3"/>
        <v>oppose</v>
      </c>
      <c r="J61" t="str">
        <f t="shared" si="4"/>
        <v/>
      </c>
    </row>
    <row r="62" spans="1:20" x14ac:dyDescent="0.2">
      <c r="A62">
        <f>'Hand Coded'!A62</f>
        <v>2911</v>
      </c>
      <c r="B62" t="str" cm="1">
        <f t="array" ref="B62">LOWER(TRIM(INDEX('Hand Coded'!A:G,ROW(),$W$11)))</f>
        <v>support</v>
      </c>
      <c r="C62" t="str" cm="1">
        <f t="array" ref="C62">IFERROR(LOWER(TRIM(INDEX('gemini-3.1-flash-lite-preview'!A:K,MATCH(A62,'gemini-3.1-flash-lite-preview'!A:A,0),$W$12))),"NOT FOUND")</f>
        <v>support with changes</v>
      </c>
      <c r="D62" t="str" cm="1">
        <f t="array" ref="D62">IFERROR(LOWER(TRIM(INDEX('gpt-5.4-mini'!A:K,MATCH(A62,'gpt-5.4-mini'!A:A,0),$W$12))),"NOT FOUND")</f>
        <v>support with changes</v>
      </c>
      <c r="E62" t="str" cm="1">
        <f t="array" ref="E62">IFERROR(LOWER(TRIM(INDEX('claude-sonnet-4-6'!A:K,MATCH(A62,'claude-sonnet-4-6'!A:A,0),$W$12))),"NOT FOUND")</f>
        <v>support with changes</v>
      </c>
      <c r="F62" t="b">
        <f t="shared" si="0"/>
        <v>1</v>
      </c>
      <c r="G62" t="b">
        <f t="shared" si="1"/>
        <v>0</v>
      </c>
      <c r="H62" t="b">
        <f t="shared" si="2"/>
        <v>1</v>
      </c>
      <c r="I62" t="str">
        <f t="shared" si="3"/>
        <v>support with changes</v>
      </c>
      <c r="J62" t="str">
        <f t="shared" si="4"/>
        <v>support → support with changes</v>
      </c>
    </row>
    <row r="63" spans="1:20" x14ac:dyDescent="0.2">
      <c r="A63">
        <f>'Hand Coded'!A63</f>
        <v>2917</v>
      </c>
      <c r="B63" t="str" cm="1">
        <f t="array" ref="B63">LOWER(TRIM(INDEX('Hand Coded'!A:G,ROW(),$W$11)))</f>
        <v>support</v>
      </c>
      <c r="C63" t="str" cm="1">
        <f t="array" ref="C63">IFERROR(LOWER(TRIM(INDEX('gemini-3.1-flash-lite-preview'!A:K,MATCH(A63,'gemini-3.1-flash-lite-preview'!A:A,0),$W$12))),"NOT FOUND")</f>
        <v>support with changes</v>
      </c>
      <c r="D63" t="str" cm="1">
        <f t="array" ref="D63">IFERROR(LOWER(TRIM(INDEX('gpt-5.4-mini'!A:K,MATCH(A63,'gpt-5.4-mini'!A:A,0),$W$12))),"NOT FOUND")</f>
        <v>support with changes</v>
      </c>
      <c r="E63" t="str" cm="1">
        <f t="array" ref="E63">IFERROR(LOWER(TRIM(INDEX('claude-sonnet-4-6'!A:K,MATCH(A63,'claude-sonnet-4-6'!A:A,0),$W$12))),"NOT FOUND")</f>
        <v>support</v>
      </c>
      <c r="F63" t="b">
        <f t="shared" si="0"/>
        <v>0</v>
      </c>
      <c r="G63" t="str">
        <f t="shared" si="1"/>
        <v>N/A</v>
      </c>
      <c r="H63" t="b">
        <f t="shared" si="2"/>
        <v>0</v>
      </c>
      <c r="I63" t="str">
        <f t="shared" si="3"/>
        <v>No consensus</v>
      </c>
      <c r="J63" t="str">
        <f t="shared" si="4"/>
        <v/>
      </c>
    </row>
    <row r="64" spans="1:20" x14ac:dyDescent="0.2">
      <c r="A64">
        <f>'Hand Coded'!A64</f>
        <v>2920</v>
      </c>
      <c r="B64" t="str" cm="1">
        <f t="array" ref="B64">LOWER(TRIM(INDEX('Hand Coded'!A:G,ROW(),$W$11)))</f>
        <v>support</v>
      </c>
      <c r="C64" t="str" cm="1">
        <f t="array" ref="C64">IFERROR(LOWER(TRIM(INDEX('gemini-3.1-flash-lite-preview'!A:K,MATCH(A64,'gemini-3.1-flash-lite-preview'!A:A,0),$W$12))),"NOT FOUND")</f>
        <v>support</v>
      </c>
      <c r="D64" t="str" cm="1">
        <f t="array" ref="D64">IFERROR(LOWER(TRIM(INDEX('gpt-5.4-mini'!A:K,MATCH(A64,'gpt-5.4-mini'!A:A,0),$W$12))),"NOT FOUND")</f>
        <v>support</v>
      </c>
      <c r="E64" t="str" cm="1">
        <f t="array" ref="E64">IFERROR(LOWER(TRIM(INDEX('claude-sonnet-4-6'!A:K,MATCH(A64,'claude-sonnet-4-6'!A:A,0),$W$12))),"NOT FOUND")</f>
        <v>support</v>
      </c>
      <c r="F64" t="b">
        <f t="shared" si="0"/>
        <v>1</v>
      </c>
      <c r="G64" t="b">
        <f t="shared" si="1"/>
        <v>1</v>
      </c>
      <c r="H64" t="b">
        <f t="shared" si="2"/>
        <v>0</v>
      </c>
      <c r="I64" t="str">
        <f t="shared" si="3"/>
        <v>support</v>
      </c>
      <c r="J64" t="str">
        <f t="shared" si="4"/>
        <v/>
      </c>
    </row>
    <row r="65" spans="1:18" x14ac:dyDescent="0.2">
      <c r="A65">
        <f>'Hand Coded'!A65</f>
        <v>2931</v>
      </c>
      <c r="B65" t="str" cm="1">
        <f t="array" ref="B65">LOWER(TRIM(INDEX('Hand Coded'!A:G,ROW(),$W$11)))</f>
        <v>support</v>
      </c>
      <c r="C65" t="str" cm="1">
        <f t="array" ref="C65">IFERROR(LOWER(TRIM(INDEX('gemini-3.1-flash-lite-preview'!A:K,MATCH(A65,'gemini-3.1-flash-lite-preview'!A:A,0),$W$12))),"NOT FOUND")</f>
        <v>support</v>
      </c>
      <c r="D65" t="str" cm="1">
        <f t="array" ref="D65">IFERROR(LOWER(TRIM(INDEX('gpt-5.4-mini'!A:K,MATCH(A65,'gpt-5.4-mini'!A:A,0),$W$12))),"NOT FOUND")</f>
        <v>support with changes</v>
      </c>
      <c r="E65" t="str" cm="1">
        <f t="array" ref="E65">IFERROR(LOWER(TRIM(INDEX('claude-sonnet-4-6'!A:K,MATCH(A65,'claude-sonnet-4-6'!A:A,0),$W$12))),"NOT FOUND")</f>
        <v>support</v>
      </c>
      <c r="F65" t="b">
        <f t="shared" si="0"/>
        <v>0</v>
      </c>
      <c r="G65" t="str">
        <f t="shared" si="1"/>
        <v>N/A</v>
      </c>
      <c r="H65" t="b">
        <f t="shared" si="2"/>
        <v>0</v>
      </c>
      <c r="I65" t="str">
        <f t="shared" si="3"/>
        <v>No consensus</v>
      </c>
      <c r="J65" t="str">
        <f t="shared" si="4"/>
        <v/>
      </c>
    </row>
    <row r="66" spans="1:18" x14ac:dyDescent="0.2">
      <c r="A66">
        <f>'Hand Coded'!A66</f>
        <v>2937</v>
      </c>
      <c r="B66" t="str" cm="1">
        <f t="array" ref="B66">LOWER(TRIM(INDEX('Hand Coded'!A:G,ROW(),$W$11)))</f>
        <v>support</v>
      </c>
      <c r="C66" t="str" cm="1">
        <f t="array" ref="C66">IFERROR(LOWER(TRIM(INDEX('gemini-3.1-flash-lite-preview'!A:K,MATCH(A66,'gemini-3.1-flash-lite-preview'!A:A,0),$W$12))),"NOT FOUND")</f>
        <v>support</v>
      </c>
      <c r="D66" t="str" cm="1">
        <f t="array" ref="D66">IFERROR(LOWER(TRIM(INDEX('gpt-5.4-mini'!A:K,MATCH(A66,'gpt-5.4-mini'!A:A,0),$W$12))),"NOT FOUND")</f>
        <v>support</v>
      </c>
      <c r="E66" t="str" cm="1">
        <f t="array" ref="E66">IFERROR(LOWER(TRIM(INDEX('claude-sonnet-4-6'!A:K,MATCH(A66,'claude-sonnet-4-6'!A:A,0),$W$12))),"NOT FOUND")</f>
        <v>support</v>
      </c>
      <c r="F66" t="b">
        <f t="shared" si="0"/>
        <v>1</v>
      </c>
      <c r="G66" t="b">
        <f t="shared" si="1"/>
        <v>1</v>
      </c>
      <c r="H66" t="b">
        <f t="shared" si="2"/>
        <v>0</v>
      </c>
      <c r="I66" t="str">
        <f t="shared" si="3"/>
        <v>support</v>
      </c>
      <c r="J66" t="str">
        <f t="shared" si="4"/>
        <v/>
      </c>
    </row>
    <row r="67" spans="1:18" x14ac:dyDescent="0.2">
      <c r="A67">
        <f>'Hand Coded'!A67</f>
        <v>2941</v>
      </c>
      <c r="B67" t="str" cm="1">
        <f t="array" ref="B67">LOWER(TRIM(INDEX('Hand Coded'!A:G,ROW(),$W$11)))</f>
        <v>support</v>
      </c>
      <c r="C67" t="str" cm="1">
        <f t="array" ref="C67">IFERROR(LOWER(TRIM(INDEX('gemini-3.1-flash-lite-preview'!A:K,MATCH(A67,'gemini-3.1-flash-lite-preview'!A:A,0),$W$12))),"NOT FOUND")</f>
        <v>support with changes</v>
      </c>
      <c r="D67" t="str" cm="1">
        <f t="array" ref="D67">IFERROR(LOWER(TRIM(INDEX('gpt-5.4-mini'!A:K,MATCH(A67,'gpt-5.4-mini'!A:A,0),$W$12))),"NOT FOUND")</f>
        <v>support with changes</v>
      </c>
      <c r="E67" t="str" cm="1">
        <f t="array" ref="E67">IFERROR(LOWER(TRIM(INDEX('claude-sonnet-4-6'!A:K,MATCH(A67,'claude-sonnet-4-6'!A:A,0),$W$12))),"NOT FOUND")</f>
        <v>support with changes</v>
      </c>
      <c r="F67" t="b">
        <f t="shared" ref="F67:F130" si="9">AND(C67=D67,D67=E67)</f>
        <v>1</v>
      </c>
      <c r="G67" t="b">
        <f t="shared" ref="G67:G130" si="10">IF(F67,B67=C67,"N/A")</f>
        <v>0</v>
      </c>
      <c r="H67" t="b">
        <f t="shared" ref="H67:H130" si="11">AND(F67,B67&lt;&gt;C67)</f>
        <v>1</v>
      </c>
      <c r="I67" t="str">
        <f t="shared" ref="I67:I130" si="12">IF(F67,C67,"No consensus")</f>
        <v>support with changes</v>
      </c>
      <c r="J67" t="str">
        <f t="shared" ref="J67:J130" si="13">IF(H67,B67&amp;" → "&amp;I67,"")</f>
        <v>support → support with changes</v>
      </c>
    </row>
    <row r="68" spans="1:18" x14ac:dyDescent="0.2">
      <c r="A68">
        <f>'Hand Coded'!A68</f>
        <v>2967</v>
      </c>
      <c r="B68" t="str" cm="1">
        <f t="array" ref="B68">LOWER(TRIM(INDEX('Hand Coded'!A:G,ROW(),$W$11)))</f>
        <v>neutral</v>
      </c>
      <c r="C68" t="str" cm="1">
        <f t="array" ref="C68">IFERROR(LOWER(TRIM(INDEX('gemini-3.1-flash-lite-preview'!A:K,MATCH(A68,'gemini-3.1-flash-lite-preview'!A:A,0),$W$12))),"NOT FOUND")</f>
        <v>neutral</v>
      </c>
      <c r="D68" t="str" cm="1">
        <f t="array" ref="D68">IFERROR(LOWER(TRIM(INDEX('gpt-5.4-mini'!A:K,MATCH(A68,'gpt-5.4-mini'!A:A,0),$W$12))),"NOT FOUND")</f>
        <v>neutral</v>
      </c>
      <c r="E68" t="str" cm="1">
        <f t="array" ref="E68">IFERROR(LOWER(TRIM(INDEX('claude-sonnet-4-6'!A:K,MATCH(A68,'claude-sonnet-4-6'!A:A,0),$W$12))),"NOT FOUND")</f>
        <v>support with changes</v>
      </c>
      <c r="F68" t="b">
        <f t="shared" si="9"/>
        <v>0</v>
      </c>
      <c r="G68" t="str">
        <f t="shared" si="10"/>
        <v>N/A</v>
      </c>
      <c r="H68" t="b">
        <f t="shared" si="11"/>
        <v>0</v>
      </c>
      <c r="I68" t="str">
        <f t="shared" si="12"/>
        <v>No consensus</v>
      </c>
      <c r="J68" t="str">
        <f t="shared" si="13"/>
        <v/>
      </c>
    </row>
    <row r="69" spans="1:18" x14ac:dyDescent="0.2">
      <c r="A69">
        <f>'Hand Coded'!A69</f>
        <v>2969</v>
      </c>
      <c r="B69" t="str" cm="1">
        <f t="array" ref="B69">LOWER(TRIM(INDEX('Hand Coded'!A:G,ROW(),$W$11)))</f>
        <v>support</v>
      </c>
      <c r="C69" t="str" cm="1">
        <f t="array" ref="C69">IFERROR(LOWER(TRIM(INDEX('gemini-3.1-flash-lite-preview'!A:K,MATCH(A69,'gemini-3.1-flash-lite-preview'!A:A,0),$W$12))),"NOT FOUND")</f>
        <v>support</v>
      </c>
      <c r="D69" t="str" cm="1">
        <f t="array" ref="D69">IFERROR(LOWER(TRIM(INDEX('gpt-5.4-mini'!A:K,MATCH(A69,'gpt-5.4-mini'!A:A,0),$W$12))),"NOT FOUND")</f>
        <v>support with changes</v>
      </c>
      <c r="E69" t="str" cm="1">
        <f t="array" ref="E69">IFERROR(LOWER(TRIM(INDEX('claude-sonnet-4-6'!A:K,MATCH(A69,'claude-sonnet-4-6'!A:A,0),$W$12))),"NOT FOUND")</f>
        <v>support</v>
      </c>
      <c r="F69" t="b">
        <f t="shared" si="9"/>
        <v>0</v>
      </c>
      <c r="G69" t="str">
        <f t="shared" si="10"/>
        <v>N/A</v>
      </c>
      <c r="H69" t="b">
        <f t="shared" si="11"/>
        <v>0</v>
      </c>
      <c r="I69" t="str">
        <f t="shared" si="12"/>
        <v>No consensus</v>
      </c>
      <c r="J69" t="str">
        <f t="shared" si="13"/>
        <v/>
      </c>
    </row>
    <row r="70" spans="1:18" x14ac:dyDescent="0.2">
      <c r="A70">
        <f>'Hand Coded'!A70</f>
        <v>3146</v>
      </c>
      <c r="B70" t="str" cm="1">
        <f t="array" ref="B70">LOWER(TRIM(INDEX('Hand Coded'!A:G,ROW(),$W$11)))</f>
        <v>support with changes</v>
      </c>
      <c r="C70" t="str" cm="1">
        <f t="array" ref="C70">IFERROR(LOWER(TRIM(INDEX('gemini-3.1-flash-lite-preview'!A:K,MATCH(A70,'gemini-3.1-flash-lite-preview'!A:A,0),$W$12))),"NOT FOUND")</f>
        <v>support with changes</v>
      </c>
      <c r="D70" t="str" cm="1">
        <f t="array" ref="D70">IFERROR(LOWER(TRIM(INDEX('gpt-5.4-mini'!A:K,MATCH(A70,'gpt-5.4-mini'!A:A,0),$W$12))),"NOT FOUND")</f>
        <v>support with changes</v>
      </c>
      <c r="E70" t="str" cm="1">
        <f t="array" ref="E70">IFERROR(LOWER(TRIM(INDEX('claude-sonnet-4-6'!A:K,MATCH(A70,'claude-sonnet-4-6'!A:A,0),$W$12))),"NOT FOUND")</f>
        <v>support with changes</v>
      </c>
      <c r="F70" t="b">
        <f t="shared" si="9"/>
        <v>1</v>
      </c>
      <c r="G70" t="b">
        <f t="shared" si="10"/>
        <v>1</v>
      </c>
      <c r="H70" t="b">
        <f t="shared" si="11"/>
        <v>0</v>
      </c>
      <c r="I70" t="str">
        <f t="shared" si="12"/>
        <v>support with changes</v>
      </c>
      <c r="J70" t="str">
        <f t="shared" si="13"/>
        <v/>
      </c>
    </row>
    <row r="71" spans="1:18" x14ac:dyDescent="0.2">
      <c r="A71">
        <f>'Hand Coded'!A71</f>
        <v>3159</v>
      </c>
      <c r="B71" t="str" cm="1">
        <f t="array" ref="B71">LOWER(TRIM(INDEX('Hand Coded'!A:G,ROW(),$W$11)))</f>
        <v>support</v>
      </c>
      <c r="C71" t="str" cm="1">
        <f t="array" ref="C71">IFERROR(LOWER(TRIM(INDEX('gemini-3.1-flash-lite-preview'!A:K,MATCH(A71,'gemini-3.1-flash-lite-preview'!A:A,0),$W$12))),"NOT FOUND")</f>
        <v>support</v>
      </c>
      <c r="D71" t="str" cm="1">
        <f t="array" ref="D71">IFERROR(LOWER(TRIM(INDEX('gpt-5.4-mini'!A:K,MATCH(A71,'gpt-5.4-mini'!A:A,0),$W$12))),"NOT FOUND")</f>
        <v>support</v>
      </c>
      <c r="E71" t="str" cm="1">
        <f t="array" ref="E71">IFERROR(LOWER(TRIM(INDEX('claude-sonnet-4-6'!A:K,MATCH(A71,'claude-sonnet-4-6'!A:A,0),$W$12))),"NOT FOUND")</f>
        <v>support</v>
      </c>
      <c r="F71" t="b">
        <f t="shared" si="9"/>
        <v>1</v>
      </c>
      <c r="G71" t="b">
        <f t="shared" si="10"/>
        <v>1</v>
      </c>
      <c r="H71" t="b">
        <f t="shared" si="11"/>
        <v>0</v>
      </c>
      <c r="I71" t="str">
        <f t="shared" si="12"/>
        <v>support</v>
      </c>
      <c r="J71" t="str">
        <f t="shared" si="13"/>
        <v/>
      </c>
    </row>
    <row r="72" spans="1:18" x14ac:dyDescent="0.2">
      <c r="A72">
        <f>'Hand Coded'!A72</f>
        <v>3193</v>
      </c>
      <c r="B72" t="str" cm="1">
        <f t="array" ref="B72">LOWER(TRIM(INDEX('Hand Coded'!A:G,ROW(),$W$11)))</f>
        <v>support with changes</v>
      </c>
      <c r="C72" t="str" cm="1">
        <f t="array" ref="C72">IFERROR(LOWER(TRIM(INDEX('gemini-3.1-flash-lite-preview'!A:K,MATCH(A72,'gemini-3.1-flash-lite-preview'!A:A,0),$W$12))),"NOT FOUND")</f>
        <v>support with changes</v>
      </c>
      <c r="D72" t="str" cm="1">
        <f t="array" ref="D72">IFERROR(LOWER(TRIM(INDEX('gpt-5.4-mini'!A:K,MATCH(A72,'gpt-5.4-mini'!A:A,0),$W$12))),"NOT FOUND")</f>
        <v>support with changes</v>
      </c>
      <c r="E72" t="str" cm="1">
        <f t="array" ref="E72">IFERROR(LOWER(TRIM(INDEX('claude-sonnet-4-6'!A:K,MATCH(A72,'claude-sonnet-4-6'!A:A,0),$W$12))),"NOT FOUND")</f>
        <v>support with changes</v>
      </c>
      <c r="F72" t="b">
        <f t="shared" si="9"/>
        <v>1</v>
      </c>
      <c r="G72" t="b">
        <f t="shared" si="10"/>
        <v>1</v>
      </c>
      <c r="H72" t="b">
        <f t="shared" si="11"/>
        <v>0</v>
      </c>
      <c r="I72" t="str">
        <f t="shared" si="12"/>
        <v>support with changes</v>
      </c>
      <c r="J72" t="str">
        <f t="shared" si="13"/>
        <v/>
      </c>
    </row>
    <row r="73" spans="1:18" x14ac:dyDescent="0.2">
      <c r="A73">
        <f>'Hand Coded'!A73</f>
        <v>3227</v>
      </c>
      <c r="B73" t="str" cm="1">
        <f t="array" ref="B73">LOWER(TRIM(INDEX('Hand Coded'!A:G,ROW(),$W$11)))</f>
        <v>support with changes</v>
      </c>
      <c r="C73" t="str" cm="1">
        <f t="array" ref="C73">IFERROR(LOWER(TRIM(INDEX('gemini-3.1-flash-lite-preview'!A:K,MATCH(A73,'gemini-3.1-flash-lite-preview'!A:A,0),$W$12))),"NOT FOUND")</f>
        <v>support with changes</v>
      </c>
      <c r="D73" t="str" cm="1">
        <f t="array" ref="D73">IFERROR(LOWER(TRIM(INDEX('gpt-5.4-mini'!A:K,MATCH(A73,'gpt-5.4-mini'!A:A,0),$W$12))),"NOT FOUND")</f>
        <v>support with changes</v>
      </c>
      <c r="E73" t="str" cm="1">
        <f t="array" ref="E73">IFERROR(LOWER(TRIM(INDEX('claude-sonnet-4-6'!A:K,MATCH(A73,'claude-sonnet-4-6'!A:A,0),$W$12))),"NOT FOUND")</f>
        <v>support with changes</v>
      </c>
      <c r="F73" t="b">
        <f t="shared" si="9"/>
        <v>1</v>
      </c>
      <c r="G73" t="b">
        <f t="shared" si="10"/>
        <v>1</v>
      </c>
      <c r="H73" t="b">
        <f t="shared" si="11"/>
        <v>0</v>
      </c>
      <c r="I73" t="str">
        <f t="shared" si="12"/>
        <v>support with changes</v>
      </c>
      <c r="J73" t="str">
        <f t="shared" si="13"/>
        <v/>
      </c>
    </row>
    <row r="74" spans="1:18" ht="16" x14ac:dyDescent="0.2">
      <c r="A74">
        <f>'Hand Coded'!A74</f>
        <v>3253</v>
      </c>
      <c r="B74" t="str" cm="1">
        <f t="array" ref="B74">LOWER(TRIM(INDEX('Hand Coded'!A:G,ROW(),$W$11)))</f>
        <v>oppose</v>
      </c>
      <c r="C74" t="str" cm="1">
        <f t="array" ref="C74">IFERROR(LOWER(TRIM(INDEX('gemini-3.1-flash-lite-preview'!A:K,MATCH(A74,'gemini-3.1-flash-lite-preview'!A:A,0),$W$12))),"NOT FOUND")</f>
        <v>oppose</v>
      </c>
      <c r="D74" t="str" cm="1">
        <f t="array" ref="D74">IFERROR(LOWER(TRIM(INDEX('gpt-5.4-mini'!A:K,MATCH(A74,'gpt-5.4-mini'!A:A,0),$W$12))),"NOT FOUND")</f>
        <v>oppose</v>
      </c>
      <c r="E74" t="str" cm="1">
        <f t="array" ref="E74">IFERROR(LOWER(TRIM(INDEX('claude-sonnet-4-6'!A:K,MATCH(A74,'claude-sonnet-4-6'!A:A,0),$W$12))),"NOT FOUND")</f>
        <v>oppose</v>
      </c>
      <c r="F74" t="b">
        <f t="shared" si="9"/>
        <v>1</v>
      </c>
      <c r="G74" t="b">
        <f t="shared" si="10"/>
        <v>1</v>
      </c>
      <c r="H74" t="b">
        <f t="shared" si="11"/>
        <v>0</v>
      </c>
      <c r="I74" t="str">
        <f t="shared" si="12"/>
        <v>oppose</v>
      </c>
      <c r="J74" t="str">
        <f t="shared" si="13"/>
        <v/>
      </c>
      <c r="P74" s="22" t="s">
        <v>455</v>
      </c>
      <c r="Q74" s="23"/>
      <c r="R74" s="23"/>
    </row>
    <row r="75" spans="1:18" x14ac:dyDescent="0.2">
      <c r="A75">
        <f>'Hand Coded'!A75</f>
        <v>3273</v>
      </c>
      <c r="B75" t="str" cm="1">
        <f t="array" ref="B75">LOWER(TRIM(INDEX('Hand Coded'!A:G,ROW(),$W$11)))</f>
        <v>support</v>
      </c>
      <c r="C75" t="str" cm="1">
        <f t="array" ref="C75">IFERROR(LOWER(TRIM(INDEX('gemini-3.1-flash-lite-preview'!A:K,MATCH(A75,'gemini-3.1-flash-lite-preview'!A:A,0),$W$12))),"NOT FOUND")</f>
        <v>support</v>
      </c>
      <c r="D75" t="str" cm="1">
        <f t="array" ref="D75">IFERROR(LOWER(TRIM(INDEX('gpt-5.4-mini'!A:K,MATCH(A75,'gpt-5.4-mini'!A:A,0),$W$12))),"NOT FOUND")</f>
        <v>support</v>
      </c>
      <c r="E75" t="str" cm="1">
        <f t="array" ref="E75">IFERROR(LOWER(TRIM(INDEX('claude-sonnet-4-6'!A:K,MATCH(A75,'claude-sonnet-4-6'!A:A,0),$W$12))),"NOT FOUND")</f>
        <v>support</v>
      </c>
      <c r="F75" t="b">
        <f t="shared" si="9"/>
        <v>1</v>
      </c>
      <c r="G75" t="b">
        <f t="shared" si="10"/>
        <v>1</v>
      </c>
      <c r="H75" t="b">
        <f t="shared" si="11"/>
        <v>0</v>
      </c>
      <c r="I75" t="str">
        <f t="shared" si="12"/>
        <v>support</v>
      </c>
      <c r="J75" t="str">
        <f t="shared" si="13"/>
        <v/>
      </c>
      <c r="P75" s="27" t="s">
        <v>456</v>
      </c>
      <c r="Q75" s="28" t="s">
        <v>457</v>
      </c>
      <c r="R75" s="28" t="s">
        <v>458</v>
      </c>
    </row>
    <row r="76" spans="1:18" x14ac:dyDescent="0.2">
      <c r="A76">
        <f>'Hand Coded'!A76</f>
        <v>3279</v>
      </c>
      <c r="B76" t="str" cm="1">
        <f t="array" ref="B76">LOWER(TRIM(INDEX('Hand Coded'!A:G,ROW(),$W$11)))</f>
        <v>support</v>
      </c>
      <c r="C76" t="str" cm="1">
        <f t="array" ref="C76">IFERROR(LOWER(TRIM(INDEX('gemini-3.1-flash-lite-preview'!A:K,MATCH(A76,'gemini-3.1-flash-lite-preview'!A:A,0),$W$12))),"NOT FOUND")</f>
        <v>support</v>
      </c>
      <c r="D76" t="str" cm="1">
        <f t="array" ref="D76">IFERROR(LOWER(TRIM(INDEX('gpt-5.4-mini'!A:K,MATCH(A76,'gpt-5.4-mini'!A:A,0),$W$12))),"NOT FOUND")</f>
        <v>support</v>
      </c>
      <c r="E76" t="str" cm="1">
        <f t="array" ref="E76">IFERROR(LOWER(TRIM(INDEX('claude-sonnet-4-6'!A:K,MATCH(A76,'claude-sonnet-4-6'!A:A,0),$W$12))),"NOT FOUND")</f>
        <v>support</v>
      </c>
      <c r="F76" t="b">
        <f t="shared" si="9"/>
        <v>1</v>
      </c>
      <c r="G76" t="b">
        <f t="shared" si="10"/>
        <v>1</v>
      </c>
      <c r="H76" t="b">
        <f t="shared" si="11"/>
        <v>0</v>
      </c>
      <c r="I76" t="str">
        <f t="shared" si="12"/>
        <v>support</v>
      </c>
      <c r="J76" t="str">
        <f t="shared" si="13"/>
        <v/>
      </c>
      <c r="P76" t="s">
        <v>442</v>
      </c>
      <c r="Q76" cm="1">
        <f t="array" aca="1" ref="Q76" ca="1">SUMPRODUCT((OFFSET($B$2,0,0,$Q$2,1)=OFFSET($C$2,0,0,$Q$2,1))*1)</f>
        <v>196</v>
      </c>
      <c r="R76" s="30">
        <f ca="1">Q76/$Q$2</f>
        <v>0.83760683760683763</v>
      </c>
    </row>
    <row r="77" spans="1:18" x14ac:dyDescent="0.2">
      <c r="A77">
        <f>'Hand Coded'!A77</f>
        <v>3280</v>
      </c>
      <c r="B77" t="str" cm="1">
        <f t="array" ref="B77">LOWER(TRIM(INDEX('Hand Coded'!A:G,ROW(),$W$11)))</f>
        <v>support</v>
      </c>
      <c r="C77" t="str" cm="1">
        <f t="array" ref="C77">IFERROR(LOWER(TRIM(INDEX('gemini-3.1-flash-lite-preview'!A:K,MATCH(A77,'gemini-3.1-flash-lite-preview'!A:A,0),$W$12))),"NOT FOUND")</f>
        <v>support</v>
      </c>
      <c r="D77" t="str" cm="1">
        <f t="array" ref="D77">IFERROR(LOWER(TRIM(INDEX('gpt-5.4-mini'!A:K,MATCH(A77,'gpt-5.4-mini'!A:A,0),$W$12))),"NOT FOUND")</f>
        <v>support</v>
      </c>
      <c r="E77" t="str" cm="1">
        <f t="array" ref="E77">IFERROR(LOWER(TRIM(INDEX('claude-sonnet-4-6'!A:K,MATCH(A77,'claude-sonnet-4-6'!A:A,0),$W$12))),"NOT FOUND")</f>
        <v>support</v>
      </c>
      <c r="F77" t="b">
        <f t="shared" si="9"/>
        <v>1</v>
      </c>
      <c r="G77" t="b">
        <f t="shared" si="10"/>
        <v>1</v>
      </c>
      <c r="H77" t="b">
        <f t="shared" si="11"/>
        <v>0</v>
      </c>
      <c r="I77" t="str">
        <f t="shared" si="12"/>
        <v>support</v>
      </c>
      <c r="J77" t="str">
        <f t="shared" si="13"/>
        <v/>
      </c>
      <c r="P77" t="s">
        <v>443</v>
      </c>
      <c r="Q77" cm="1">
        <f t="array" aca="1" ref="Q77" ca="1">SUMPRODUCT((OFFSET($B$2,0,0,$Q$2,1)=OFFSET($D$2,0,0,$Q$2,1))*1)</f>
        <v>190</v>
      </c>
      <c r="R77" s="30">
        <f ca="1">Q77/$Q$2</f>
        <v>0.81196581196581197</v>
      </c>
    </row>
    <row r="78" spans="1:18" x14ac:dyDescent="0.2">
      <c r="A78">
        <f>'Hand Coded'!A78</f>
        <v>3329</v>
      </c>
      <c r="B78" t="str" cm="1">
        <f t="array" ref="B78">LOWER(TRIM(INDEX('Hand Coded'!A:G,ROW(),$W$11)))</f>
        <v>neutral</v>
      </c>
      <c r="C78" t="str" cm="1">
        <f t="array" ref="C78">IFERROR(LOWER(TRIM(INDEX('gemini-3.1-flash-lite-preview'!A:K,MATCH(A78,'gemini-3.1-flash-lite-preview'!A:A,0),$W$12))),"NOT FOUND")</f>
        <v>neutral</v>
      </c>
      <c r="D78" t="str" cm="1">
        <f t="array" ref="D78">IFERROR(LOWER(TRIM(INDEX('gpt-5.4-mini'!A:K,MATCH(A78,'gpt-5.4-mini'!A:A,0),$W$12))),"NOT FOUND")</f>
        <v>neutral</v>
      </c>
      <c r="E78" t="str" cm="1">
        <f t="array" ref="E78">IFERROR(LOWER(TRIM(INDEX('claude-sonnet-4-6'!A:K,MATCH(A78,'claude-sonnet-4-6'!A:A,0),$W$12))),"NOT FOUND")</f>
        <v>neutral</v>
      </c>
      <c r="F78" t="b">
        <f t="shared" si="9"/>
        <v>1</v>
      </c>
      <c r="G78" t="b">
        <f t="shared" si="10"/>
        <v>1</v>
      </c>
      <c r="H78" t="b">
        <f t="shared" si="11"/>
        <v>0</v>
      </c>
      <c r="I78" t="str">
        <f t="shared" si="12"/>
        <v>neutral</v>
      </c>
      <c r="J78" t="str">
        <f t="shared" si="13"/>
        <v/>
      </c>
      <c r="P78" t="s">
        <v>444</v>
      </c>
      <c r="Q78" cm="1">
        <f t="array" aca="1" ref="Q78" ca="1">SUMPRODUCT((OFFSET($B$2,0,0,$Q$2,1)=OFFSET($E$2,0,0,$Q$2,1))*1)</f>
        <v>197</v>
      </c>
      <c r="R78" s="30">
        <f ca="1">Q78/$Q$2</f>
        <v>0.84188034188034189</v>
      </c>
    </row>
    <row r="79" spans="1:18" x14ac:dyDescent="0.2">
      <c r="A79">
        <f>'Hand Coded'!A79</f>
        <v>3333</v>
      </c>
      <c r="B79" t="str" cm="1">
        <f t="array" ref="B79">LOWER(TRIM(INDEX('Hand Coded'!A:G,ROW(),$W$11)))</f>
        <v>neutral</v>
      </c>
      <c r="C79" t="str" cm="1">
        <f t="array" ref="C79">IFERROR(LOWER(TRIM(INDEX('gemini-3.1-flash-lite-preview'!A:K,MATCH(A79,'gemini-3.1-flash-lite-preview'!A:A,0),$W$12))),"NOT FOUND")</f>
        <v>neutral</v>
      </c>
      <c r="D79" t="str" cm="1">
        <f t="array" ref="D79">IFERROR(LOWER(TRIM(INDEX('gpt-5.4-mini'!A:K,MATCH(A79,'gpt-5.4-mini'!A:A,0),$W$12))),"NOT FOUND")</f>
        <v>neutral</v>
      </c>
      <c r="E79" t="str" cm="1">
        <f t="array" ref="E79">IFERROR(LOWER(TRIM(INDEX('claude-sonnet-4-6'!A:K,MATCH(A79,'claude-sonnet-4-6'!A:A,0),$W$12))),"NOT FOUND")</f>
        <v>neutral</v>
      </c>
      <c r="F79" t="b">
        <f t="shared" si="9"/>
        <v>1</v>
      </c>
      <c r="G79" t="b">
        <f t="shared" si="10"/>
        <v>1</v>
      </c>
      <c r="H79" t="b">
        <f t="shared" si="11"/>
        <v>0</v>
      </c>
      <c r="I79" t="str">
        <f t="shared" si="12"/>
        <v>neutral</v>
      </c>
      <c r="J79" t="str">
        <f t="shared" si="13"/>
        <v/>
      </c>
    </row>
    <row r="80" spans="1:18" x14ac:dyDescent="0.2">
      <c r="A80">
        <f>'Hand Coded'!A80</f>
        <v>3346</v>
      </c>
      <c r="B80" t="str" cm="1">
        <f t="array" ref="B80">LOWER(TRIM(INDEX('Hand Coded'!A:G,ROW(),$W$11)))</f>
        <v>support with changes</v>
      </c>
      <c r="C80" t="str" cm="1">
        <f t="array" ref="C80">IFERROR(LOWER(TRIM(INDEX('gemini-3.1-flash-lite-preview'!A:K,MATCH(A80,'gemini-3.1-flash-lite-preview'!A:A,0),$W$12))),"NOT FOUND")</f>
        <v>support with changes</v>
      </c>
      <c r="D80" t="str" cm="1">
        <f t="array" ref="D80">IFERROR(LOWER(TRIM(INDEX('gpt-5.4-mini'!A:K,MATCH(A80,'gpt-5.4-mini'!A:A,0),$W$12))),"NOT FOUND")</f>
        <v>support with changes</v>
      </c>
      <c r="E80" t="str" cm="1">
        <f t="array" ref="E80">IFERROR(LOWER(TRIM(INDEX('claude-sonnet-4-6'!A:K,MATCH(A80,'claude-sonnet-4-6'!A:A,0),$W$12))),"NOT FOUND")</f>
        <v>support with changes</v>
      </c>
      <c r="F80" t="b">
        <f t="shared" si="9"/>
        <v>1</v>
      </c>
      <c r="G80" t="b">
        <f t="shared" si="10"/>
        <v>1</v>
      </c>
      <c r="H80" t="b">
        <f t="shared" si="11"/>
        <v>0</v>
      </c>
      <c r="I80" t="str">
        <f t="shared" si="12"/>
        <v>support with changes</v>
      </c>
      <c r="J80" t="str">
        <f t="shared" si="13"/>
        <v/>
      </c>
    </row>
    <row r="81" spans="1:10" x14ac:dyDescent="0.2">
      <c r="A81">
        <f>'Hand Coded'!A81</f>
        <v>3377</v>
      </c>
      <c r="B81" t="str" cm="1">
        <f t="array" ref="B81">LOWER(TRIM(INDEX('Hand Coded'!A:G,ROW(),$W$11)))</f>
        <v>oppose</v>
      </c>
      <c r="C81" t="str" cm="1">
        <f t="array" ref="C81">IFERROR(LOWER(TRIM(INDEX('gemini-3.1-flash-lite-preview'!A:K,MATCH(A81,'gemini-3.1-flash-lite-preview'!A:A,0),$W$12))),"NOT FOUND")</f>
        <v>oppose</v>
      </c>
      <c r="D81" t="str" cm="1">
        <f t="array" ref="D81">IFERROR(LOWER(TRIM(INDEX('gpt-5.4-mini'!A:K,MATCH(A81,'gpt-5.4-mini'!A:A,0),$W$12))),"NOT FOUND")</f>
        <v>oppose</v>
      </c>
      <c r="E81" t="str" cm="1">
        <f t="array" ref="E81">IFERROR(LOWER(TRIM(INDEX('claude-sonnet-4-6'!A:K,MATCH(A81,'claude-sonnet-4-6'!A:A,0),$W$12))),"NOT FOUND")</f>
        <v>oppose</v>
      </c>
      <c r="F81" t="b">
        <f t="shared" si="9"/>
        <v>1</v>
      </c>
      <c r="G81" t="b">
        <f t="shared" si="10"/>
        <v>1</v>
      </c>
      <c r="H81" t="b">
        <f t="shared" si="11"/>
        <v>0</v>
      </c>
      <c r="I81" t="str">
        <f t="shared" si="12"/>
        <v>oppose</v>
      </c>
      <c r="J81" t="str">
        <f t="shared" si="13"/>
        <v/>
      </c>
    </row>
    <row r="82" spans="1:10" x14ac:dyDescent="0.2">
      <c r="A82">
        <f>'Hand Coded'!A82</f>
        <v>3504</v>
      </c>
      <c r="B82" t="str" cm="1">
        <f t="array" ref="B82">LOWER(TRIM(INDEX('Hand Coded'!A:G,ROW(),$W$11)))</f>
        <v>support</v>
      </c>
      <c r="C82" t="str" cm="1">
        <f t="array" ref="C82">IFERROR(LOWER(TRIM(INDEX('gemini-3.1-flash-lite-preview'!A:K,MATCH(A82,'gemini-3.1-flash-lite-preview'!A:A,0),$W$12))),"NOT FOUND")</f>
        <v>support</v>
      </c>
      <c r="D82" t="str" cm="1">
        <f t="array" ref="D82">IFERROR(LOWER(TRIM(INDEX('gpt-5.4-mini'!A:K,MATCH(A82,'gpt-5.4-mini'!A:A,0),$W$12))),"NOT FOUND")</f>
        <v>support</v>
      </c>
      <c r="E82" t="str" cm="1">
        <f t="array" ref="E82">IFERROR(LOWER(TRIM(INDEX('claude-sonnet-4-6'!A:K,MATCH(A82,'claude-sonnet-4-6'!A:A,0),$W$12))),"NOT FOUND")</f>
        <v>support</v>
      </c>
      <c r="F82" t="b">
        <f t="shared" si="9"/>
        <v>1</v>
      </c>
      <c r="G82" t="b">
        <f t="shared" si="10"/>
        <v>1</v>
      </c>
      <c r="H82" t="b">
        <f t="shared" si="11"/>
        <v>0</v>
      </c>
      <c r="I82" t="str">
        <f t="shared" si="12"/>
        <v>support</v>
      </c>
      <c r="J82" t="str">
        <f t="shared" si="13"/>
        <v/>
      </c>
    </row>
    <row r="83" spans="1:10" x14ac:dyDescent="0.2">
      <c r="A83">
        <f>'Hand Coded'!A83</f>
        <v>3570</v>
      </c>
      <c r="B83" t="str" cm="1">
        <f t="array" ref="B83">LOWER(TRIM(INDEX('Hand Coded'!A:G,ROW(),$W$11)))</f>
        <v>neutral</v>
      </c>
      <c r="C83" t="str" cm="1">
        <f t="array" ref="C83">IFERROR(LOWER(TRIM(INDEX('gemini-3.1-flash-lite-preview'!A:K,MATCH(A83,'gemini-3.1-flash-lite-preview'!A:A,0),$W$12))),"NOT FOUND")</f>
        <v>neutral</v>
      </c>
      <c r="D83" t="str" cm="1">
        <f t="array" ref="D83">IFERROR(LOWER(TRIM(INDEX('gpt-5.4-mini'!A:K,MATCH(A83,'gpt-5.4-mini'!A:A,0),$W$12))),"NOT FOUND")</f>
        <v>neutral</v>
      </c>
      <c r="E83" t="str" cm="1">
        <f t="array" ref="E83">IFERROR(LOWER(TRIM(INDEX('claude-sonnet-4-6'!A:K,MATCH(A83,'claude-sonnet-4-6'!A:A,0),$W$12))),"NOT FOUND")</f>
        <v>neutral</v>
      </c>
      <c r="F83" t="b">
        <f t="shared" si="9"/>
        <v>1</v>
      </c>
      <c r="G83" t="b">
        <f t="shared" si="10"/>
        <v>1</v>
      </c>
      <c r="H83" t="b">
        <f t="shared" si="11"/>
        <v>0</v>
      </c>
      <c r="I83" t="str">
        <f t="shared" si="12"/>
        <v>neutral</v>
      </c>
      <c r="J83" t="str">
        <f t="shared" si="13"/>
        <v/>
      </c>
    </row>
    <row r="84" spans="1:10" x14ac:dyDescent="0.2">
      <c r="A84">
        <f>'Hand Coded'!A84</f>
        <v>3637</v>
      </c>
      <c r="B84" t="str" cm="1">
        <f t="array" ref="B84">LOWER(TRIM(INDEX('Hand Coded'!A:G,ROW(),$W$11)))</f>
        <v>support with changes</v>
      </c>
      <c r="C84" t="str" cm="1">
        <f t="array" ref="C84">IFERROR(LOWER(TRIM(INDEX('gemini-3.1-flash-lite-preview'!A:K,MATCH(A84,'gemini-3.1-flash-lite-preview'!A:A,0),$W$12))),"NOT FOUND")</f>
        <v>oppose</v>
      </c>
      <c r="D84" t="str" cm="1">
        <f t="array" ref="D84">IFERROR(LOWER(TRIM(INDEX('gpt-5.4-mini'!A:K,MATCH(A84,'gpt-5.4-mini'!A:A,0),$W$12))),"NOT FOUND")</f>
        <v>support with changes</v>
      </c>
      <c r="E84" t="str" cm="1">
        <f t="array" ref="E84">IFERROR(LOWER(TRIM(INDEX('claude-sonnet-4-6'!A:K,MATCH(A84,'claude-sonnet-4-6'!A:A,0),$W$12))),"NOT FOUND")</f>
        <v>oppose</v>
      </c>
      <c r="F84" t="b">
        <f t="shared" si="9"/>
        <v>0</v>
      </c>
      <c r="G84" t="str">
        <f t="shared" si="10"/>
        <v>N/A</v>
      </c>
      <c r="H84" t="b">
        <f t="shared" si="11"/>
        <v>0</v>
      </c>
      <c r="I84" t="str">
        <f t="shared" si="12"/>
        <v>No consensus</v>
      </c>
      <c r="J84" t="str">
        <f t="shared" si="13"/>
        <v/>
      </c>
    </row>
    <row r="85" spans="1:10" x14ac:dyDescent="0.2">
      <c r="A85">
        <f>'Hand Coded'!A85</f>
        <v>3658</v>
      </c>
      <c r="B85" t="str" cm="1">
        <f t="array" ref="B85">LOWER(TRIM(INDEX('Hand Coded'!A:G,ROW(),$W$11)))</f>
        <v>oppose</v>
      </c>
      <c r="C85" t="str" cm="1">
        <f t="array" ref="C85">IFERROR(LOWER(TRIM(INDEX('gemini-3.1-flash-lite-preview'!A:K,MATCH(A85,'gemini-3.1-flash-lite-preview'!A:A,0),$W$12))),"NOT FOUND")</f>
        <v>support with changes</v>
      </c>
      <c r="D85" t="str" cm="1">
        <f t="array" ref="D85">IFERROR(LOWER(TRIM(INDEX('gpt-5.4-mini'!A:K,MATCH(A85,'gpt-5.4-mini'!A:A,0),$W$12))),"NOT FOUND")</f>
        <v>support with changes</v>
      </c>
      <c r="E85" t="str" cm="1">
        <f t="array" ref="E85">IFERROR(LOWER(TRIM(INDEX('claude-sonnet-4-6'!A:K,MATCH(A85,'claude-sonnet-4-6'!A:A,0),$W$12))),"NOT FOUND")</f>
        <v>support with changes</v>
      </c>
      <c r="F85" t="b">
        <f t="shared" si="9"/>
        <v>1</v>
      </c>
      <c r="G85" t="b">
        <f t="shared" si="10"/>
        <v>0</v>
      </c>
      <c r="H85" t="b">
        <f t="shared" si="11"/>
        <v>1</v>
      </c>
      <c r="I85" t="str">
        <f t="shared" si="12"/>
        <v>support with changes</v>
      </c>
      <c r="J85" t="str">
        <f t="shared" si="13"/>
        <v>oppose → support with changes</v>
      </c>
    </row>
    <row r="86" spans="1:10" x14ac:dyDescent="0.2">
      <c r="A86">
        <f>'Hand Coded'!A86</f>
        <v>3675</v>
      </c>
      <c r="B86" t="str" cm="1">
        <f t="array" ref="B86">LOWER(TRIM(INDEX('Hand Coded'!A:G,ROW(),$W$11)))</f>
        <v>support with changes</v>
      </c>
      <c r="C86" t="str" cm="1">
        <f t="array" ref="C86">IFERROR(LOWER(TRIM(INDEX('gemini-3.1-flash-lite-preview'!A:K,MATCH(A86,'gemini-3.1-flash-lite-preview'!A:A,0),$W$12))),"NOT FOUND")</f>
        <v>support with changes</v>
      </c>
      <c r="D86" t="str" cm="1">
        <f t="array" ref="D86">IFERROR(LOWER(TRIM(INDEX('gpt-5.4-mini'!A:K,MATCH(A86,'gpt-5.4-mini'!A:A,0),$W$12))),"NOT FOUND")</f>
        <v>support with changes</v>
      </c>
      <c r="E86" t="str" cm="1">
        <f t="array" ref="E86">IFERROR(LOWER(TRIM(INDEX('claude-sonnet-4-6'!A:K,MATCH(A86,'claude-sonnet-4-6'!A:A,0),$W$12))),"NOT FOUND")</f>
        <v>support with changes</v>
      </c>
      <c r="F86" t="b">
        <f t="shared" si="9"/>
        <v>1</v>
      </c>
      <c r="G86" t="b">
        <f t="shared" si="10"/>
        <v>1</v>
      </c>
      <c r="H86" t="b">
        <f t="shared" si="11"/>
        <v>0</v>
      </c>
      <c r="I86" t="str">
        <f t="shared" si="12"/>
        <v>support with changes</v>
      </c>
      <c r="J86" t="str">
        <f t="shared" si="13"/>
        <v/>
      </c>
    </row>
    <row r="87" spans="1:10" x14ac:dyDescent="0.2">
      <c r="A87">
        <f>'Hand Coded'!A87</f>
        <v>3683</v>
      </c>
      <c r="B87" t="str" cm="1">
        <f t="array" ref="B87">LOWER(TRIM(INDEX('Hand Coded'!A:G,ROW(),$W$11)))</f>
        <v>oppose</v>
      </c>
      <c r="C87" t="str" cm="1">
        <f t="array" ref="C87">IFERROR(LOWER(TRIM(INDEX('gemini-3.1-flash-lite-preview'!A:K,MATCH(A87,'gemini-3.1-flash-lite-preview'!A:A,0),$W$12))),"NOT FOUND")</f>
        <v>oppose</v>
      </c>
      <c r="D87" t="str" cm="1">
        <f t="array" ref="D87">IFERROR(LOWER(TRIM(INDEX('gpt-5.4-mini'!A:K,MATCH(A87,'gpt-5.4-mini'!A:A,0),$W$12))),"NOT FOUND")</f>
        <v>oppose</v>
      </c>
      <c r="E87" t="str" cm="1">
        <f t="array" ref="E87">IFERROR(LOWER(TRIM(INDEX('claude-sonnet-4-6'!A:K,MATCH(A87,'claude-sonnet-4-6'!A:A,0),$W$12))),"NOT FOUND")</f>
        <v>oppose</v>
      </c>
      <c r="F87" t="b">
        <f t="shared" si="9"/>
        <v>1</v>
      </c>
      <c r="G87" t="b">
        <f t="shared" si="10"/>
        <v>1</v>
      </c>
      <c r="H87" t="b">
        <f t="shared" si="11"/>
        <v>0</v>
      </c>
      <c r="I87" t="str">
        <f t="shared" si="12"/>
        <v>oppose</v>
      </c>
      <c r="J87" t="str">
        <f t="shared" si="13"/>
        <v/>
      </c>
    </row>
    <row r="88" spans="1:10" x14ac:dyDescent="0.2">
      <c r="A88">
        <f>'Hand Coded'!A88</f>
        <v>3747</v>
      </c>
      <c r="B88" t="str" cm="1">
        <f t="array" ref="B88">LOWER(TRIM(INDEX('Hand Coded'!A:G,ROW(),$W$11)))</f>
        <v>neutral</v>
      </c>
      <c r="C88" t="str" cm="1">
        <f t="array" ref="C88">IFERROR(LOWER(TRIM(INDEX('gemini-3.1-flash-lite-preview'!A:K,MATCH(A88,'gemini-3.1-flash-lite-preview'!A:A,0),$W$12))),"NOT FOUND")</f>
        <v>neutral</v>
      </c>
      <c r="D88" t="str" cm="1">
        <f t="array" ref="D88">IFERROR(LOWER(TRIM(INDEX('gpt-5.4-mini'!A:K,MATCH(A88,'gpt-5.4-mini'!A:A,0),$W$12))),"NOT FOUND")</f>
        <v>support with changes</v>
      </c>
      <c r="E88" t="str" cm="1">
        <f t="array" ref="E88">IFERROR(LOWER(TRIM(INDEX('claude-sonnet-4-6'!A:K,MATCH(A88,'claude-sonnet-4-6'!A:A,0),$W$12))),"NOT FOUND")</f>
        <v>support with changes</v>
      </c>
      <c r="F88" t="b">
        <f t="shared" si="9"/>
        <v>0</v>
      </c>
      <c r="G88" t="str">
        <f t="shared" si="10"/>
        <v>N/A</v>
      </c>
      <c r="H88" t="b">
        <f t="shared" si="11"/>
        <v>0</v>
      </c>
      <c r="I88" t="str">
        <f t="shared" si="12"/>
        <v>No consensus</v>
      </c>
      <c r="J88" t="str">
        <f t="shared" si="13"/>
        <v/>
      </c>
    </row>
    <row r="89" spans="1:10" x14ac:dyDescent="0.2">
      <c r="A89">
        <f>'Hand Coded'!A89</f>
        <v>3810</v>
      </c>
      <c r="B89" t="str" cm="1">
        <f t="array" ref="B89">LOWER(TRIM(INDEX('Hand Coded'!A:G,ROW(),$W$11)))</f>
        <v>oppose</v>
      </c>
      <c r="C89" t="str" cm="1">
        <f t="array" ref="C89">IFERROR(LOWER(TRIM(INDEX('gemini-3.1-flash-lite-preview'!A:K,MATCH(A89,'gemini-3.1-flash-lite-preview'!A:A,0),$W$12))),"NOT FOUND")</f>
        <v>oppose</v>
      </c>
      <c r="D89" t="str" cm="1">
        <f t="array" ref="D89">IFERROR(LOWER(TRIM(INDEX('gpt-5.4-mini'!A:K,MATCH(A89,'gpt-5.4-mini'!A:A,0),$W$12))),"NOT FOUND")</f>
        <v>oppose</v>
      </c>
      <c r="E89" t="str" cm="1">
        <f t="array" ref="E89">IFERROR(LOWER(TRIM(INDEX('claude-sonnet-4-6'!A:K,MATCH(A89,'claude-sonnet-4-6'!A:A,0),$W$12))),"NOT FOUND")</f>
        <v>oppose</v>
      </c>
      <c r="F89" t="b">
        <f t="shared" si="9"/>
        <v>1</v>
      </c>
      <c r="G89" t="b">
        <f t="shared" si="10"/>
        <v>1</v>
      </c>
      <c r="H89" t="b">
        <f t="shared" si="11"/>
        <v>0</v>
      </c>
      <c r="I89" t="str">
        <f t="shared" si="12"/>
        <v>oppose</v>
      </c>
      <c r="J89" t="str">
        <f t="shared" si="13"/>
        <v/>
      </c>
    </row>
    <row r="90" spans="1:10" x14ac:dyDescent="0.2">
      <c r="A90">
        <f>'Hand Coded'!A90</f>
        <v>3857</v>
      </c>
      <c r="B90" t="str" cm="1">
        <f t="array" ref="B90">LOWER(TRIM(INDEX('Hand Coded'!A:G,ROW(),$W$11)))</f>
        <v>neutral</v>
      </c>
      <c r="C90" t="str" cm="1">
        <f t="array" ref="C90">IFERROR(LOWER(TRIM(INDEX('gemini-3.1-flash-lite-preview'!A:K,MATCH(A90,'gemini-3.1-flash-lite-preview'!A:A,0),$W$12))),"NOT FOUND")</f>
        <v>neutral</v>
      </c>
      <c r="D90" t="str" cm="1">
        <f t="array" ref="D90">IFERROR(LOWER(TRIM(INDEX('gpt-5.4-mini'!A:K,MATCH(A90,'gpt-5.4-mini'!A:A,0),$W$12))),"NOT FOUND")</f>
        <v>neutral</v>
      </c>
      <c r="E90" t="str" cm="1">
        <f t="array" ref="E90">IFERROR(LOWER(TRIM(INDEX('claude-sonnet-4-6'!A:K,MATCH(A90,'claude-sonnet-4-6'!A:A,0),$W$12))),"NOT FOUND")</f>
        <v>neutral</v>
      </c>
      <c r="F90" t="b">
        <f t="shared" si="9"/>
        <v>1</v>
      </c>
      <c r="G90" t="b">
        <f t="shared" si="10"/>
        <v>1</v>
      </c>
      <c r="H90" t="b">
        <f t="shared" si="11"/>
        <v>0</v>
      </c>
      <c r="I90" t="str">
        <f t="shared" si="12"/>
        <v>neutral</v>
      </c>
      <c r="J90" t="str">
        <f t="shared" si="13"/>
        <v/>
      </c>
    </row>
    <row r="91" spans="1:10" x14ac:dyDescent="0.2">
      <c r="A91">
        <f>'Hand Coded'!A91</f>
        <v>3908</v>
      </c>
      <c r="B91" t="str" cm="1">
        <f t="array" ref="B91">LOWER(TRIM(INDEX('Hand Coded'!A:G,ROW(),$W$11)))</f>
        <v>oppose</v>
      </c>
      <c r="C91" t="str" cm="1">
        <f t="array" ref="C91">IFERROR(LOWER(TRIM(INDEX('gemini-3.1-flash-lite-preview'!A:K,MATCH(A91,'gemini-3.1-flash-lite-preview'!A:A,0),$W$12))),"NOT FOUND")</f>
        <v>oppose</v>
      </c>
      <c r="D91" t="str" cm="1">
        <f t="array" ref="D91">IFERROR(LOWER(TRIM(INDEX('gpt-5.4-mini'!A:K,MATCH(A91,'gpt-5.4-mini'!A:A,0),$W$12))),"NOT FOUND")</f>
        <v>oppose</v>
      </c>
      <c r="E91" t="str" cm="1">
        <f t="array" ref="E91">IFERROR(LOWER(TRIM(INDEX('claude-sonnet-4-6'!A:K,MATCH(A91,'claude-sonnet-4-6'!A:A,0),$W$12))),"NOT FOUND")</f>
        <v>oppose</v>
      </c>
      <c r="F91" t="b">
        <f t="shared" si="9"/>
        <v>1</v>
      </c>
      <c r="G91" t="b">
        <f t="shared" si="10"/>
        <v>1</v>
      </c>
      <c r="H91" t="b">
        <f t="shared" si="11"/>
        <v>0</v>
      </c>
      <c r="I91" t="str">
        <f t="shared" si="12"/>
        <v>oppose</v>
      </c>
      <c r="J91" t="str">
        <f t="shared" si="13"/>
        <v/>
      </c>
    </row>
    <row r="92" spans="1:10" x14ac:dyDescent="0.2">
      <c r="A92">
        <f>'Hand Coded'!A92</f>
        <v>3959</v>
      </c>
      <c r="B92" t="str" cm="1">
        <f t="array" ref="B92">LOWER(TRIM(INDEX('Hand Coded'!A:G,ROW(),$W$11)))</f>
        <v>oppose</v>
      </c>
      <c r="C92" t="str" cm="1">
        <f t="array" ref="C92">IFERROR(LOWER(TRIM(INDEX('gemini-3.1-flash-lite-preview'!A:K,MATCH(A92,'gemini-3.1-flash-lite-preview'!A:A,0),$W$12))),"NOT FOUND")</f>
        <v>oppose</v>
      </c>
      <c r="D92" t="str" cm="1">
        <f t="array" ref="D92">IFERROR(LOWER(TRIM(INDEX('gpt-5.4-mini'!A:K,MATCH(A92,'gpt-5.4-mini'!A:A,0),$W$12))),"NOT FOUND")</f>
        <v>oppose</v>
      </c>
      <c r="E92" t="str" cm="1">
        <f t="array" ref="E92">IFERROR(LOWER(TRIM(INDEX('claude-sonnet-4-6'!A:K,MATCH(A92,'claude-sonnet-4-6'!A:A,0),$W$12))),"NOT FOUND")</f>
        <v>oppose</v>
      </c>
      <c r="F92" t="b">
        <f t="shared" si="9"/>
        <v>1</v>
      </c>
      <c r="G92" t="b">
        <f t="shared" si="10"/>
        <v>1</v>
      </c>
      <c r="H92" t="b">
        <f t="shared" si="11"/>
        <v>0</v>
      </c>
      <c r="I92" t="str">
        <f t="shared" si="12"/>
        <v>oppose</v>
      </c>
      <c r="J92" t="str">
        <f t="shared" si="13"/>
        <v/>
      </c>
    </row>
    <row r="93" spans="1:10" x14ac:dyDescent="0.2">
      <c r="A93">
        <f>'Hand Coded'!A93</f>
        <v>3968</v>
      </c>
      <c r="B93" t="str" cm="1">
        <f t="array" ref="B93">LOWER(TRIM(INDEX('Hand Coded'!A:G,ROW(),$W$11)))</f>
        <v>support with changes</v>
      </c>
      <c r="C93" t="str" cm="1">
        <f t="array" ref="C93">IFERROR(LOWER(TRIM(INDEX('gemini-3.1-flash-lite-preview'!A:K,MATCH(A93,'gemini-3.1-flash-lite-preview'!A:A,0),$W$12))),"NOT FOUND")</f>
        <v>support with changes</v>
      </c>
      <c r="D93" t="str" cm="1">
        <f t="array" ref="D93">IFERROR(LOWER(TRIM(INDEX('gpt-5.4-mini'!A:K,MATCH(A93,'gpt-5.4-mini'!A:A,0),$W$12))),"NOT FOUND")</f>
        <v>support with changes</v>
      </c>
      <c r="E93" t="str" cm="1">
        <f t="array" ref="E93">IFERROR(LOWER(TRIM(INDEX('claude-sonnet-4-6'!A:K,MATCH(A93,'claude-sonnet-4-6'!A:A,0),$W$12))),"NOT FOUND")</f>
        <v>support with changes</v>
      </c>
      <c r="F93" t="b">
        <f t="shared" si="9"/>
        <v>1</v>
      </c>
      <c r="G93" t="b">
        <f t="shared" si="10"/>
        <v>1</v>
      </c>
      <c r="H93" t="b">
        <f t="shared" si="11"/>
        <v>0</v>
      </c>
      <c r="I93" t="str">
        <f t="shared" si="12"/>
        <v>support with changes</v>
      </c>
      <c r="J93" t="str">
        <f t="shared" si="13"/>
        <v/>
      </c>
    </row>
    <row r="94" spans="1:10" x14ac:dyDescent="0.2">
      <c r="A94">
        <f>'Hand Coded'!A94</f>
        <v>4054</v>
      </c>
      <c r="B94" t="str" cm="1">
        <f t="array" ref="B94">LOWER(TRIM(INDEX('Hand Coded'!A:G,ROW(),$W$11)))</f>
        <v>oppose</v>
      </c>
      <c r="C94" t="str" cm="1">
        <f t="array" ref="C94">IFERROR(LOWER(TRIM(INDEX('gemini-3.1-flash-lite-preview'!A:K,MATCH(A94,'gemini-3.1-flash-lite-preview'!A:A,0),$W$12))),"NOT FOUND")</f>
        <v>oppose</v>
      </c>
      <c r="D94" t="str" cm="1">
        <f t="array" ref="D94">IFERROR(LOWER(TRIM(INDEX('gpt-5.4-mini'!A:K,MATCH(A94,'gpt-5.4-mini'!A:A,0),$W$12))),"NOT FOUND")</f>
        <v>oppose</v>
      </c>
      <c r="E94" t="str" cm="1">
        <f t="array" ref="E94">IFERROR(LOWER(TRIM(INDEX('claude-sonnet-4-6'!A:K,MATCH(A94,'claude-sonnet-4-6'!A:A,0),$W$12))),"NOT FOUND")</f>
        <v>oppose</v>
      </c>
      <c r="F94" t="b">
        <f t="shared" si="9"/>
        <v>1</v>
      </c>
      <c r="G94" t="b">
        <f t="shared" si="10"/>
        <v>1</v>
      </c>
      <c r="H94" t="b">
        <f t="shared" si="11"/>
        <v>0</v>
      </c>
      <c r="I94" t="str">
        <f t="shared" si="12"/>
        <v>oppose</v>
      </c>
      <c r="J94" t="str">
        <f t="shared" si="13"/>
        <v/>
      </c>
    </row>
    <row r="95" spans="1:10" x14ac:dyDescent="0.2">
      <c r="A95">
        <f>'Hand Coded'!A95</f>
        <v>4086</v>
      </c>
      <c r="B95" t="str" cm="1">
        <f t="array" ref="B95">LOWER(TRIM(INDEX('Hand Coded'!A:G,ROW(),$W$11)))</f>
        <v>neutral</v>
      </c>
      <c r="C95" t="str" cm="1">
        <f t="array" ref="C95">IFERROR(LOWER(TRIM(INDEX('gemini-3.1-flash-lite-preview'!A:K,MATCH(A95,'gemini-3.1-flash-lite-preview'!A:A,0),$W$12))),"NOT FOUND")</f>
        <v>neutral</v>
      </c>
      <c r="D95" t="str" cm="1">
        <f t="array" ref="D95">IFERROR(LOWER(TRIM(INDEX('gpt-5.4-mini'!A:K,MATCH(A95,'gpt-5.4-mini'!A:A,0),$W$12))),"NOT FOUND")</f>
        <v>support with changes</v>
      </c>
      <c r="E95" t="str" cm="1">
        <f t="array" ref="E95">IFERROR(LOWER(TRIM(INDEX('claude-sonnet-4-6'!A:K,MATCH(A95,'claude-sonnet-4-6'!A:A,0),$W$12))),"NOT FOUND")</f>
        <v>neutral</v>
      </c>
      <c r="F95" t="b">
        <f t="shared" si="9"/>
        <v>0</v>
      </c>
      <c r="G95" t="str">
        <f t="shared" si="10"/>
        <v>N/A</v>
      </c>
      <c r="H95" t="b">
        <f t="shared" si="11"/>
        <v>0</v>
      </c>
      <c r="I95" t="str">
        <f t="shared" si="12"/>
        <v>No consensus</v>
      </c>
      <c r="J95" t="str">
        <f t="shared" si="13"/>
        <v/>
      </c>
    </row>
    <row r="96" spans="1:10" x14ac:dyDescent="0.2">
      <c r="A96">
        <f>'Hand Coded'!A96</f>
        <v>4136</v>
      </c>
      <c r="B96" t="str" cm="1">
        <f t="array" ref="B96">LOWER(TRIM(INDEX('Hand Coded'!A:G,ROW(),$W$11)))</f>
        <v>neutral</v>
      </c>
      <c r="C96" t="str" cm="1">
        <f t="array" ref="C96">IFERROR(LOWER(TRIM(INDEX('gemini-3.1-flash-lite-preview'!A:K,MATCH(A96,'gemini-3.1-flash-lite-preview'!A:A,0),$W$12))),"NOT FOUND")</f>
        <v>neutral</v>
      </c>
      <c r="D96" t="str" cm="1">
        <f t="array" ref="D96">IFERROR(LOWER(TRIM(INDEX('gpt-5.4-mini'!A:K,MATCH(A96,'gpt-5.4-mini'!A:A,0),$W$12))),"NOT FOUND")</f>
        <v>neutral</v>
      </c>
      <c r="E96" t="str" cm="1">
        <f t="array" ref="E96">IFERROR(LOWER(TRIM(INDEX('claude-sonnet-4-6'!A:K,MATCH(A96,'claude-sonnet-4-6'!A:A,0),$W$12))),"NOT FOUND")</f>
        <v>neutral</v>
      </c>
      <c r="F96" t="b">
        <f t="shared" si="9"/>
        <v>1</v>
      </c>
      <c r="G96" t="b">
        <f t="shared" si="10"/>
        <v>1</v>
      </c>
      <c r="H96" t="b">
        <f t="shared" si="11"/>
        <v>0</v>
      </c>
      <c r="I96" t="str">
        <f t="shared" si="12"/>
        <v>neutral</v>
      </c>
      <c r="J96" t="str">
        <f t="shared" si="13"/>
        <v/>
      </c>
    </row>
    <row r="97" spans="1:10" x14ac:dyDescent="0.2">
      <c r="A97">
        <f>'Hand Coded'!A97</f>
        <v>4277</v>
      </c>
      <c r="B97" t="str" cm="1">
        <f t="array" ref="B97">LOWER(TRIM(INDEX('Hand Coded'!A:G,ROW(),$W$11)))</f>
        <v>support</v>
      </c>
      <c r="C97" t="str" cm="1">
        <f t="array" ref="C97">IFERROR(LOWER(TRIM(INDEX('gemini-3.1-flash-lite-preview'!A:K,MATCH(A97,'gemini-3.1-flash-lite-preview'!A:A,0),$W$12))),"NOT FOUND")</f>
        <v>support</v>
      </c>
      <c r="D97" t="str" cm="1">
        <f t="array" ref="D97">IFERROR(LOWER(TRIM(INDEX('gpt-5.4-mini'!A:K,MATCH(A97,'gpt-5.4-mini'!A:A,0),$W$12))),"NOT FOUND")</f>
        <v>support</v>
      </c>
      <c r="E97" t="str" cm="1">
        <f t="array" ref="E97">IFERROR(LOWER(TRIM(INDEX('claude-sonnet-4-6'!A:K,MATCH(A97,'claude-sonnet-4-6'!A:A,0),$W$12))),"NOT FOUND")</f>
        <v>support</v>
      </c>
      <c r="F97" t="b">
        <f t="shared" si="9"/>
        <v>1</v>
      </c>
      <c r="G97" t="b">
        <f t="shared" si="10"/>
        <v>1</v>
      </c>
      <c r="H97" t="b">
        <f t="shared" si="11"/>
        <v>0</v>
      </c>
      <c r="I97" t="str">
        <f t="shared" si="12"/>
        <v>support</v>
      </c>
      <c r="J97" t="str">
        <f t="shared" si="13"/>
        <v/>
      </c>
    </row>
    <row r="98" spans="1:10" x14ac:dyDescent="0.2">
      <c r="A98">
        <f>'Hand Coded'!A98</f>
        <v>4280</v>
      </c>
      <c r="B98" t="str" cm="1">
        <f t="array" ref="B98">LOWER(TRIM(INDEX('Hand Coded'!A:G,ROW(),$W$11)))</f>
        <v>support</v>
      </c>
      <c r="C98" t="str" cm="1">
        <f t="array" ref="C98">IFERROR(LOWER(TRIM(INDEX('gemini-3.1-flash-lite-preview'!A:K,MATCH(A98,'gemini-3.1-flash-lite-preview'!A:A,0),$W$12))),"NOT FOUND")</f>
        <v>support</v>
      </c>
      <c r="D98" t="str" cm="1">
        <f t="array" ref="D98">IFERROR(LOWER(TRIM(INDEX('gpt-5.4-mini'!A:K,MATCH(A98,'gpt-5.4-mini'!A:A,0),$W$12))),"NOT FOUND")</f>
        <v>support</v>
      </c>
      <c r="E98" t="str" cm="1">
        <f t="array" ref="E98">IFERROR(LOWER(TRIM(INDEX('claude-sonnet-4-6'!A:K,MATCH(A98,'claude-sonnet-4-6'!A:A,0),$W$12))),"NOT FOUND")</f>
        <v>support</v>
      </c>
      <c r="F98" t="b">
        <f t="shared" si="9"/>
        <v>1</v>
      </c>
      <c r="G98" t="b">
        <f t="shared" si="10"/>
        <v>1</v>
      </c>
      <c r="H98" t="b">
        <f t="shared" si="11"/>
        <v>0</v>
      </c>
      <c r="I98" t="str">
        <f t="shared" si="12"/>
        <v>support</v>
      </c>
      <c r="J98" t="str">
        <f t="shared" si="13"/>
        <v/>
      </c>
    </row>
    <row r="99" spans="1:10" x14ac:dyDescent="0.2">
      <c r="A99">
        <f>'Hand Coded'!A99</f>
        <v>4305</v>
      </c>
      <c r="B99" t="str" cm="1">
        <f t="array" ref="B99">LOWER(TRIM(INDEX('Hand Coded'!A:G,ROW(),$W$11)))</f>
        <v>oppose</v>
      </c>
      <c r="C99" t="str" cm="1">
        <f t="array" ref="C99">IFERROR(LOWER(TRIM(INDEX('gemini-3.1-flash-lite-preview'!A:K,MATCH(A99,'gemini-3.1-flash-lite-preview'!A:A,0),$W$12))),"NOT FOUND")</f>
        <v>oppose</v>
      </c>
      <c r="D99" t="str" cm="1">
        <f t="array" ref="D99">IFERROR(LOWER(TRIM(INDEX('gpt-5.4-mini'!A:K,MATCH(A99,'gpt-5.4-mini'!A:A,0),$W$12))),"NOT FOUND")</f>
        <v>support with changes</v>
      </c>
      <c r="E99" t="str" cm="1">
        <f t="array" ref="E99">IFERROR(LOWER(TRIM(INDEX('claude-sonnet-4-6'!A:K,MATCH(A99,'claude-sonnet-4-6'!A:A,0),$W$12))),"NOT FOUND")</f>
        <v>oppose</v>
      </c>
      <c r="F99" t="b">
        <f t="shared" si="9"/>
        <v>0</v>
      </c>
      <c r="G99" t="str">
        <f t="shared" si="10"/>
        <v>N/A</v>
      </c>
      <c r="H99" t="b">
        <f t="shared" si="11"/>
        <v>0</v>
      </c>
      <c r="I99" t="str">
        <f t="shared" si="12"/>
        <v>No consensus</v>
      </c>
      <c r="J99" t="str">
        <f t="shared" si="13"/>
        <v/>
      </c>
    </row>
    <row r="100" spans="1:10" x14ac:dyDescent="0.2">
      <c r="A100">
        <f>'Hand Coded'!A100</f>
        <v>4335</v>
      </c>
      <c r="B100" t="str" cm="1">
        <f t="array" ref="B100">LOWER(TRIM(INDEX('Hand Coded'!A:G,ROW(),$W$11)))</f>
        <v>oppose</v>
      </c>
      <c r="C100" t="str" cm="1">
        <f t="array" ref="C100">IFERROR(LOWER(TRIM(INDEX('gemini-3.1-flash-lite-preview'!A:K,MATCH(A100,'gemini-3.1-flash-lite-preview'!A:A,0),$W$12))),"NOT FOUND")</f>
        <v>oppose</v>
      </c>
      <c r="D100" t="str" cm="1">
        <f t="array" ref="D100">IFERROR(LOWER(TRIM(INDEX('gpt-5.4-mini'!A:K,MATCH(A100,'gpt-5.4-mini'!A:A,0),$W$12))),"NOT FOUND")</f>
        <v>support with changes</v>
      </c>
      <c r="E100" t="str" cm="1">
        <f t="array" ref="E100">IFERROR(LOWER(TRIM(INDEX('claude-sonnet-4-6'!A:K,MATCH(A100,'claude-sonnet-4-6'!A:A,0),$W$12))),"NOT FOUND")</f>
        <v>oppose</v>
      </c>
      <c r="F100" t="b">
        <f t="shared" si="9"/>
        <v>0</v>
      </c>
      <c r="G100" t="str">
        <f t="shared" si="10"/>
        <v>N/A</v>
      </c>
      <c r="H100" t="b">
        <f t="shared" si="11"/>
        <v>0</v>
      </c>
      <c r="I100" t="str">
        <f t="shared" si="12"/>
        <v>No consensus</v>
      </c>
      <c r="J100" t="str">
        <f t="shared" si="13"/>
        <v/>
      </c>
    </row>
    <row r="101" spans="1:10" x14ac:dyDescent="0.2">
      <c r="A101">
        <f>'Hand Coded'!A101</f>
        <v>4379</v>
      </c>
      <c r="B101" t="str" cm="1">
        <f t="array" ref="B101">LOWER(TRIM(INDEX('Hand Coded'!A:G,ROW(),$W$11)))</f>
        <v>neutral</v>
      </c>
      <c r="C101" t="str" cm="1">
        <f t="array" ref="C101">IFERROR(LOWER(TRIM(INDEX('gemini-3.1-flash-lite-preview'!A:K,MATCH(A101,'gemini-3.1-flash-lite-preview'!A:A,0),$W$12))),"NOT FOUND")</f>
        <v>neutral</v>
      </c>
      <c r="D101" t="str" cm="1">
        <f t="array" ref="D101">IFERROR(LOWER(TRIM(INDEX('gpt-5.4-mini'!A:K,MATCH(A101,'gpt-5.4-mini'!A:A,0),$W$12))),"NOT FOUND")</f>
        <v>neutral</v>
      </c>
      <c r="E101" t="str" cm="1">
        <f t="array" ref="E101">IFERROR(LOWER(TRIM(INDEX('claude-sonnet-4-6'!A:K,MATCH(A101,'claude-sonnet-4-6'!A:A,0),$W$12))),"NOT FOUND")</f>
        <v>neutral</v>
      </c>
      <c r="F101" t="b">
        <f t="shared" si="9"/>
        <v>1</v>
      </c>
      <c r="G101" t="b">
        <f t="shared" si="10"/>
        <v>1</v>
      </c>
      <c r="H101" t="b">
        <f t="shared" si="11"/>
        <v>0</v>
      </c>
      <c r="I101" t="str">
        <f t="shared" si="12"/>
        <v>neutral</v>
      </c>
      <c r="J101" t="str">
        <f t="shared" si="13"/>
        <v/>
      </c>
    </row>
    <row r="102" spans="1:10" x14ac:dyDescent="0.2">
      <c r="A102">
        <f>'Hand Coded'!A102</f>
        <v>4479</v>
      </c>
      <c r="B102" t="str" cm="1">
        <f t="array" ref="B102">LOWER(TRIM(INDEX('Hand Coded'!A:G,ROW(),$W$11)))</f>
        <v>support</v>
      </c>
      <c r="C102" t="str" cm="1">
        <f t="array" ref="C102">IFERROR(LOWER(TRIM(INDEX('gemini-3.1-flash-lite-preview'!A:K,MATCH(A102,'gemini-3.1-flash-lite-preview'!A:A,0),$W$12))),"NOT FOUND")</f>
        <v>support</v>
      </c>
      <c r="D102" t="str" cm="1">
        <f t="array" ref="D102">IFERROR(LOWER(TRIM(INDEX('gpt-5.4-mini'!A:K,MATCH(A102,'gpt-5.4-mini'!A:A,0),$W$12))),"NOT FOUND")</f>
        <v>support with changes</v>
      </c>
      <c r="E102" t="str" cm="1">
        <f t="array" ref="E102">IFERROR(LOWER(TRIM(INDEX('claude-sonnet-4-6'!A:K,MATCH(A102,'claude-sonnet-4-6'!A:A,0),$W$12))),"NOT FOUND")</f>
        <v>support with changes</v>
      </c>
      <c r="F102" t="b">
        <f t="shared" si="9"/>
        <v>0</v>
      </c>
      <c r="G102" t="str">
        <f t="shared" si="10"/>
        <v>N/A</v>
      </c>
      <c r="H102" t="b">
        <f t="shared" si="11"/>
        <v>0</v>
      </c>
      <c r="I102" t="str">
        <f t="shared" si="12"/>
        <v>No consensus</v>
      </c>
      <c r="J102" t="str">
        <f t="shared" si="13"/>
        <v/>
      </c>
    </row>
    <row r="103" spans="1:10" x14ac:dyDescent="0.2">
      <c r="A103">
        <f>'Hand Coded'!A103</f>
        <v>4533</v>
      </c>
      <c r="B103" t="str" cm="1">
        <f t="array" ref="B103">LOWER(TRIM(INDEX('Hand Coded'!A:G,ROW(),$W$11)))</f>
        <v>support</v>
      </c>
      <c r="C103" t="str" cm="1">
        <f t="array" ref="C103">IFERROR(LOWER(TRIM(INDEX('gemini-3.1-flash-lite-preview'!A:K,MATCH(A103,'gemini-3.1-flash-lite-preview'!A:A,0),$W$12))),"NOT FOUND")</f>
        <v>support</v>
      </c>
      <c r="D103" t="str" cm="1">
        <f t="array" ref="D103">IFERROR(LOWER(TRIM(INDEX('gpt-5.4-mini'!A:K,MATCH(A103,'gpt-5.4-mini'!A:A,0),$W$12))),"NOT FOUND")</f>
        <v>support</v>
      </c>
      <c r="E103" t="str" cm="1">
        <f t="array" ref="E103">IFERROR(LOWER(TRIM(INDEX('claude-sonnet-4-6'!A:K,MATCH(A103,'claude-sonnet-4-6'!A:A,0),$W$12))),"NOT FOUND")</f>
        <v>support</v>
      </c>
      <c r="F103" t="b">
        <f t="shared" si="9"/>
        <v>1</v>
      </c>
      <c r="G103" t="b">
        <f t="shared" si="10"/>
        <v>1</v>
      </c>
      <c r="H103" t="b">
        <f t="shared" si="11"/>
        <v>0</v>
      </c>
      <c r="I103" t="str">
        <f t="shared" si="12"/>
        <v>support</v>
      </c>
      <c r="J103" t="str">
        <f t="shared" si="13"/>
        <v/>
      </c>
    </row>
    <row r="104" spans="1:10" x14ac:dyDescent="0.2">
      <c r="A104">
        <f>'Hand Coded'!A104</f>
        <v>4607</v>
      </c>
      <c r="B104" t="str" cm="1">
        <f t="array" ref="B104">LOWER(TRIM(INDEX('Hand Coded'!A:G,ROW(),$W$11)))</f>
        <v>support with changes</v>
      </c>
      <c r="C104" t="str" cm="1">
        <f t="array" ref="C104">IFERROR(LOWER(TRIM(INDEX('gemini-3.1-flash-lite-preview'!A:K,MATCH(A104,'gemini-3.1-flash-lite-preview'!A:A,0),$W$12))),"NOT FOUND")</f>
        <v>support with changes</v>
      </c>
      <c r="D104" t="str" cm="1">
        <f t="array" ref="D104">IFERROR(LOWER(TRIM(INDEX('gpt-5.4-mini'!A:K,MATCH(A104,'gpt-5.4-mini'!A:A,0),$W$12))),"NOT FOUND")</f>
        <v>support with changes</v>
      </c>
      <c r="E104" t="str" cm="1">
        <f t="array" ref="E104">IFERROR(LOWER(TRIM(INDEX('claude-sonnet-4-6'!A:K,MATCH(A104,'claude-sonnet-4-6'!A:A,0),$W$12))),"NOT FOUND")</f>
        <v>support with changes</v>
      </c>
      <c r="F104" t="b">
        <f t="shared" si="9"/>
        <v>1</v>
      </c>
      <c r="G104" t="b">
        <f t="shared" si="10"/>
        <v>1</v>
      </c>
      <c r="H104" t="b">
        <f t="shared" si="11"/>
        <v>0</v>
      </c>
      <c r="I104" t="str">
        <f t="shared" si="12"/>
        <v>support with changes</v>
      </c>
      <c r="J104" t="str">
        <f t="shared" si="13"/>
        <v/>
      </c>
    </row>
    <row r="105" spans="1:10" x14ac:dyDescent="0.2">
      <c r="A105">
        <f>'Hand Coded'!A105</f>
        <v>4653</v>
      </c>
      <c r="B105" t="str" cm="1">
        <f t="array" ref="B105">LOWER(TRIM(INDEX('Hand Coded'!A:G,ROW(),$W$11)))</f>
        <v>oppose</v>
      </c>
      <c r="C105" t="str" cm="1">
        <f t="array" ref="C105">IFERROR(LOWER(TRIM(INDEX('gemini-3.1-flash-lite-preview'!A:K,MATCH(A105,'gemini-3.1-flash-lite-preview'!A:A,0),$W$12))),"NOT FOUND")</f>
        <v>oppose</v>
      </c>
      <c r="D105" t="str" cm="1">
        <f t="array" ref="D105">IFERROR(LOWER(TRIM(INDEX('gpt-5.4-mini'!A:K,MATCH(A105,'gpt-5.4-mini'!A:A,0),$W$12))),"NOT FOUND")</f>
        <v>oppose</v>
      </c>
      <c r="E105" t="str" cm="1">
        <f t="array" ref="E105">IFERROR(LOWER(TRIM(INDEX('claude-sonnet-4-6'!A:K,MATCH(A105,'claude-sonnet-4-6'!A:A,0),$W$12))),"NOT FOUND")</f>
        <v>oppose</v>
      </c>
      <c r="F105" t="b">
        <f t="shared" si="9"/>
        <v>1</v>
      </c>
      <c r="G105" t="b">
        <f t="shared" si="10"/>
        <v>1</v>
      </c>
      <c r="H105" t="b">
        <f t="shared" si="11"/>
        <v>0</v>
      </c>
      <c r="I105" t="str">
        <f t="shared" si="12"/>
        <v>oppose</v>
      </c>
      <c r="J105" t="str">
        <f t="shared" si="13"/>
        <v/>
      </c>
    </row>
    <row r="106" spans="1:10" x14ac:dyDescent="0.2">
      <c r="A106">
        <f>'Hand Coded'!A106</f>
        <v>4698</v>
      </c>
      <c r="B106" t="str" cm="1">
        <f t="array" ref="B106">LOWER(TRIM(INDEX('Hand Coded'!A:G,ROW(),$W$11)))</f>
        <v>neutral</v>
      </c>
      <c r="C106" t="str" cm="1">
        <f t="array" ref="C106">IFERROR(LOWER(TRIM(INDEX('gemini-3.1-flash-lite-preview'!A:K,MATCH(A106,'gemini-3.1-flash-lite-preview'!A:A,0),$W$12))),"NOT FOUND")</f>
        <v>neutral</v>
      </c>
      <c r="D106" t="str" cm="1">
        <f t="array" ref="D106">IFERROR(LOWER(TRIM(INDEX('gpt-5.4-mini'!A:K,MATCH(A106,'gpt-5.4-mini'!A:A,0),$W$12))),"NOT FOUND")</f>
        <v>neutral</v>
      </c>
      <c r="E106" t="str" cm="1">
        <f t="array" ref="E106">IFERROR(LOWER(TRIM(INDEX('claude-sonnet-4-6'!A:K,MATCH(A106,'claude-sonnet-4-6'!A:A,0),$W$12))),"NOT FOUND")</f>
        <v>neutral</v>
      </c>
      <c r="F106" t="b">
        <f t="shared" si="9"/>
        <v>1</v>
      </c>
      <c r="G106" t="b">
        <f t="shared" si="10"/>
        <v>1</v>
      </c>
      <c r="H106" t="b">
        <f t="shared" si="11"/>
        <v>0</v>
      </c>
      <c r="I106" t="str">
        <f t="shared" si="12"/>
        <v>neutral</v>
      </c>
      <c r="J106" t="str">
        <f t="shared" si="13"/>
        <v/>
      </c>
    </row>
    <row r="107" spans="1:10" x14ac:dyDescent="0.2">
      <c r="A107">
        <f>'Hand Coded'!A107</f>
        <v>4699</v>
      </c>
      <c r="B107" t="str" cm="1">
        <f t="array" ref="B107">LOWER(TRIM(INDEX('Hand Coded'!A:G,ROW(),$W$11)))</f>
        <v>neutral</v>
      </c>
      <c r="C107" t="str" cm="1">
        <f t="array" ref="C107">IFERROR(LOWER(TRIM(INDEX('gemini-3.1-flash-lite-preview'!A:K,MATCH(A107,'gemini-3.1-flash-lite-preview'!A:A,0),$W$12))),"NOT FOUND")</f>
        <v>neutral</v>
      </c>
      <c r="D107" t="str" cm="1">
        <f t="array" ref="D107">IFERROR(LOWER(TRIM(INDEX('gpt-5.4-mini'!A:K,MATCH(A107,'gpt-5.4-mini'!A:A,0),$W$12))),"NOT FOUND")</f>
        <v>neutral</v>
      </c>
      <c r="E107" t="str" cm="1">
        <f t="array" ref="E107">IFERROR(LOWER(TRIM(INDEX('claude-sonnet-4-6'!A:K,MATCH(A107,'claude-sonnet-4-6'!A:A,0),$W$12))),"NOT FOUND")</f>
        <v>neutral</v>
      </c>
      <c r="F107" t="b">
        <f t="shared" si="9"/>
        <v>1</v>
      </c>
      <c r="G107" t="b">
        <f t="shared" si="10"/>
        <v>1</v>
      </c>
      <c r="H107" t="b">
        <f t="shared" si="11"/>
        <v>0</v>
      </c>
      <c r="I107" t="str">
        <f t="shared" si="12"/>
        <v>neutral</v>
      </c>
      <c r="J107" t="str">
        <f t="shared" si="13"/>
        <v/>
      </c>
    </row>
    <row r="108" spans="1:10" x14ac:dyDescent="0.2">
      <c r="A108">
        <f>'Hand Coded'!A108</f>
        <v>4744</v>
      </c>
      <c r="B108" t="str" cm="1">
        <f t="array" ref="B108">LOWER(TRIM(INDEX('Hand Coded'!A:G,ROW(),$W$11)))</f>
        <v>support</v>
      </c>
      <c r="C108" t="str" cm="1">
        <f t="array" ref="C108">IFERROR(LOWER(TRIM(INDEX('gemini-3.1-flash-lite-preview'!A:K,MATCH(A108,'gemini-3.1-flash-lite-preview'!A:A,0),$W$12))),"NOT FOUND")</f>
        <v>support</v>
      </c>
      <c r="D108" t="str" cm="1">
        <f t="array" ref="D108">IFERROR(LOWER(TRIM(INDEX('gpt-5.4-mini'!A:K,MATCH(A108,'gpt-5.4-mini'!A:A,0),$W$12))),"NOT FOUND")</f>
        <v>support</v>
      </c>
      <c r="E108" t="str" cm="1">
        <f t="array" ref="E108">IFERROR(LOWER(TRIM(INDEX('claude-sonnet-4-6'!A:K,MATCH(A108,'claude-sonnet-4-6'!A:A,0),$W$12))),"NOT FOUND")</f>
        <v>support</v>
      </c>
      <c r="F108" t="b">
        <f t="shared" si="9"/>
        <v>1</v>
      </c>
      <c r="G108" t="b">
        <f t="shared" si="10"/>
        <v>1</v>
      </c>
      <c r="H108" t="b">
        <f t="shared" si="11"/>
        <v>0</v>
      </c>
      <c r="I108" t="str">
        <f t="shared" si="12"/>
        <v>support</v>
      </c>
      <c r="J108" t="str">
        <f t="shared" si="13"/>
        <v/>
      </c>
    </row>
    <row r="109" spans="1:10" x14ac:dyDescent="0.2">
      <c r="A109">
        <f>'Hand Coded'!A109</f>
        <v>4745</v>
      </c>
      <c r="B109" t="str" cm="1">
        <f t="array" ref="B109">LOWER(TRIM(INDEX('Hand Coded'!A:G,ROW(),$W$11)))</f>
        <v>support</v>
      </c>
      <c r="C109" t="str" cm="1">
        <f t="array" ref="C109">IFERROR(LOWER(TRIM(INDEX('gemini-3.1-flash-lite-preview'!A:K,MATCH(A109,'gemini-3.1-flash-lite-preview'!A:A,0),$W$12))),"NOT FOUND")</f>
        <v>support</v>
      </c>
      <c r="D109" t="str" cm="1">
        <f t="array" ref="D109">IFERROR(LOWER(TRIM(INDEX('gpt-5.4-mini'!A:K,MATCH(A109,'gpt-5.4-mini'!A:A,0),$W$12))),"NOT FOUND")</f>
        <v>support</v>
      </c>
      <c r="E109" t="str" cm="1">
        <f t="array" ref="E109">IFERROR(LOWER(TRIM(INDEX('claude-sonnet-4-6'!A:K,MATCH(A109,'claude-sonnet-4-6'!A:A,0),$W$12))),"NOT FOUND")</f>
        <v>support</v>
      </c>
      <c r="F109" t="b">
        <f t="shared" si="9"/>
        <v>1</v>
      </c>
      <c r="G109" t="b">
        <f t="shared" si="10"/>
        <v>1</v>
      </c>
      <c r="H109" t="b">
        <f t="shared" si="11"/>
        <v>0</v>
      </c>
      <c r="I109" t="str">
        <f t="shared" si="12"/>
        <v>support</v>
      </c>
      <c r="J109" t="str">
        <f t="shared" si="13"/>
        <v/>
      </c>
    </row>
    <row r="110" spans="1:10" x14ac:dyDescent="0.2">
      <c r="A110">
        <f>'Hand Coded'!A110</f>
        <v>4750</v>
      </c>
      <c r="B110" t="str" cm="1">
        <f t="array" ref="B110">LOWER(TRIM(INDEX('Hand Coded'!A:G,ROW(),$W$11)))</f>
        <v>oppose</v>
      </c>
      <c r="C110" t="str" cm="1">
        <f t="array" ref="C110">IFERROR(LOWER(TRIM(INDEX('gemini-3.1-flash-lite-preview'!A:K,MATCH(A110,'gemini-3.1-flash-lite-preview'!A:A,0),$W$12))),"NOT FOUND")</f>
        <v>oppose</v>
      </c>
      <c r="D110" t="str" cm="1">
        <f t="array" ref="D110">IFERROR(LOWER(TRIM(INDEX('gpt-5.4-mini'!A:K,MATCH(A110,'gpt-5.4-mini'!A:A,0),$W$12))),"NOT FOUND")</f>
        <v>oppose</v>
      </c>
      <c r="E110" t="str" cm="1">
        <f t="array" ref="E110">IFERROR(LOWER(TRIM(INDEX('claude-sonnet-4-6'!A:K,MATCH(A110,'claude-sonnet-4-6'!A:A,0),$W$12))),"NOT FOUND")</f>
        <v>oppose</v>
      </c>
      <c r="F110" t="b">
        <f t="shared" si="9"/>
        <v>1</v>
      </c>
      <c r="G110" t="b">
        <f t="shared" si="10"/>
        <v>1</v>
      </c>
      <c r="H110" t="b">
        <f t="shared" si="11"/>
        <v>0</v>
      </c>
      <c r="I110" t="str">
        <f t="shared" si="12"/>
        <v>oppose</v>
      </c>
      <c r="J110" t="str">
        <f t="shared" si="13"/>
        <v/>
      </c>
    </row>
    <row r="111" spans="1:10" x14ac:dyDescent="0.2">
      <c r="A111">
        <f>'Hand Coded'!A111</f>
        <v>4838</v>
      </c>
      <c r="B111" t="str" cm="1">
        <f t="array" ref="B111">LOWER(TRIM(INDEX('Hand Coded'!A:G,ROW(),$W$11)))</f>
        <v>oppose</v>
      </c>
      <c r="C111" t="str" cm="1">
        <f t="array" ref="C111">IFERROR(LOWER(TRIM(INDEX('gemini-3.1-flash-lite-preview'!A:K,MATCH(A111,'gemini-3.1-flash-lite-preview'!A:A,0),$W$12))),"NOT FOUND")</f>
        <v>oppose</v>
      </c>
      <c r="D111" t="str" cm="1">
        <f t="array" ref="D111">IFERROR(LOWER(TRIM(INDEX('gpt-5.4-mini'!A:K,MATCH(A111,'gpt-5.4-mini'!A:A,0),$W$12))),"NOT FOUND")</f>
        <v>oppose</v>
      </c>
      <c r="E111" t="str" cm="1">
        <f t="array" ref="E111">IFERROR(LOWER(TRIM(INDEX('claude-sonnet-4-6'!A:K,MATCH(A111,'claude-sonnet-4-6'!A:A,0),$W$12))),"NOT FOUND")</f>
        <v>support with changes</v>
      </c>
      <c r="F111" t="b">
        <f t="shared" si="9"/>
        <v>0</v>
      </c>
      <c r="G111" t="str">
        <f t="shared" si="10"/>
        <v>N/A</v>
      </c>
      <c r="H111" t="b">
        <f t="shared" si="11"/>
        <v>0</v>
      </c>
      <c r="I111" t="str">
        <f t="shared" si="12"/>
        <v>No consensus</v>
      </c>
      <c r="J111" t="str">
        <f t="shared" si="13"/>
        <v/>
      </c>
    </row>
    <row r="112" spans="1:10" x14ac:dyDescent="0.2">
      <c r="A112">
        <f>'Hand Coded'!A112</f>
        <v>4865</v>
      </c>
      <c r="B112" t="str" cm="1">
        <f t="array" ref="B112">LOWER(TRIM(INDEX('Hand Coded'!A:G,ROW(),$W$11)))</f>
        <v>support with changes</v>
      </c>
      <c r="C112" t="str" cm="1">
        <f t="array" ref="C112">IFERROR(LOWER(TRIM(INDEX('gemini-3.1-flash-lite-preview'!A:K,MATCH(A112,'gemini-3.1-flash-lite-preview'!A:A,0),$W$12))),"NOT FOUND")</f>
        <v>support with changes</v>
      </c>
      <c r="D112" t="str" cm="1">
        <f t="array" ref="D112">IFERROR(LOWER(TRIM(INDEX('gpt-5.4-mini'!A:K,MATCH(A112,'gpt-5.4-mini'!A:A,0),$W$12))),"NOT FOUND")</f>
        <v>oppose</v>
      </c>
      <c r="E112" t="str" cm="1">
        <f t="array" ref="E112">IFERROR(LOWER(TRIM(INDEX('claude-sonnet-4-6'!A:K,MATCH(A112,'claude-sonnet-4-6'!A:A,0),$W$12))),"NOT FOUND")</f>
        <v>oppose</v>
      </c>
      <c r="F112" t="b">
        <f t="shared" si="9"/>
        <v>0</v>
      </c>
      <c r="G112" t="str">
        <f t="shared" si="10"/>
        <v>N/A</v>
      </c>
      <c r="H112" t="b">
        <f t="shared" si="11"/>
        <v>0</v>
      </c>
      <c r="I112" t="str">
        <f t="shared" si="12"/>
        <v>No consensus</v>
      </c>
      <c r="J112" t="str">
        <f t="shared" si="13"/>
        <v/>
      </c>
    </row>
    <row r="113" spans="1:10" x14ac:dyDescent="0.2">
      <c r="A113">
        <f>'Hand Coded'!A113</f>
        <v>4866</v>
      </c>
      <c r="B113" t="str" cm="1">
        <f t="array" ref="B113">LOWER(TRIM(INDEX('Hand Coded'!A:G,ROW(),$W$11)))</f>
        <v>oppose</v>
      </c>
      <c r="C113" t="str" cm="1">
        <f t="array" ref="C113">IFERROR(LOWER(TRIM(INDEX('gemini-3.1-flash-lite-preview'!A:K,MATCH(A113,'gemini-3.1-flash-lite-preview'!A:A,0),$W$12))),"NOT FOUND")</f>
        <v>oppose</v>
      </c>
      <c r="D113" t="str" cm="1">
        <f t="array" ref="D113">IFERROR(LOWER(TRIM(INDEX('gpt-5.4-mini'!A:K,MATCH(A113,'gpt-5.4-mini'!A:A,0),$W$12))),"NOT FOUND")</f>
        <v>oppose</v>
      </c>
      <c r="E113" t="str" cm="1">
        <f t="array" ref="E113">IFERROR(LOWER(TRIM(INDEX('claude-sonnet-4-6'!A:K,MATCH(A113,'claude-sonnet-4-6'!A:A,0),$W$12))),"NOT FOUND")</f>
        <v>oppose</v>
      </c>
      <c r="F113" t="b">
        <f t="shared" si="9"/>
        <v>1</v>
      </c>
      <c r="G113" t="b">
        <f t="shared" si="10"/>
        <v>1</v>
      </c>
      <c r="H113" t="b">
        <f t="shared" si="11"/>
        <v>0</v>
      </c>
      <c r="I113" t="str">
        <f t="shared" si="12"/>
        <v>oppose</v>
      </c>
      <c r="J113" t="str">
        <f t="shared" si="13"/>
        <v/>
      </c>
    </row>
    <row r="114" spans="1:10" x14ac:dyDescent="0.2">
      <c r="A114">
        <f>'Hand Coded'!A114</f>
        <v>5034</v>
      </c>
      <c r="B114" t="str" cm="1">
        <f t="array" ref="B114">LOWER(TRIM(INDEX('Hand Coded'!A:G,ROW(),$W$11)))</f>
        <v>support with changes</v>
      </c>
      <c r="C114" t="str" cm="1">
        <f t="array" ref="C114">IFERROR(LOWER(TRIM(INDEX('gemini-3.1-flash-lite-preview'!A:K,MATCH(A114,'gemini-3.1-flash-lite-preview'!A:A,0),$W$12))),"NOT FOUND")</f>
        <v>support with changes</v>
      </c>
      <c r="D114" t="str" cm="1">
        <f t="array" ref="D114">IFERROR(LOWER(TRIM(INDEX('gpt-5.4-mini'!A:K,MATCH(A114,'gpt-5.4-mini'!A:A,0),$W$12))),"NOT FOUND")</f>
        <v>support with changes</v>
      </c>
      <c r="E114" t="str" cm="1">
        <f t="array" ref="E114">IFERROR(LOWER(TRIM(INDEX('claude-sonnet-4-6'!A:K,MATCH(A114,'claude-sonnet-4-6'!A:A,0),$W$12))),"NOT FOUND")</f>
        <v>support with changes</v>
      </c>
      <c r="F114" t="b">
        <f t="shared" si="9"/>
        <v>1</v>
      </c>
      <c r="G114" t="b">
        <f t="shared" si="10"/>
        <v>1</v>
      </c>
      <c r="H114" t="b">
        <f t="shared" si="11"/>
        <v>0</v>
      </c>
      <c r="I114" t="str">
        <f t="shared" si="12"/>
        <v>support with changes</v>
      </c>
      <c r="J114" t="str">
        <f t="shared" si="13"/>
        <v/>
      </c>
    </row>
    <row r="115" spans="1:10" x14ac:dyDescent="0.2">
      <c r="A115">
        <f>'Hand Coded'!A115</f>
        <v>5148</v>
      </c>
      <c r="B115" t="str" cm="1">
        <f t="array" ref="B115">LOWER(TRIM(INDEX('Hand Coded'!A:G,ROW(),$W$11)))</f>
        <v>oppose</v>
      </c>
      <c r="C115" t="str" cm="1">
        <f t="array" ref="C115">IFERROR(LOWER(TRIM(INDEX('gemini-3.1-flash-lite-preview'!A:K,MATCH(A115,'gemini-3.1-flash-lite-preview'!A:A,0),$W$12))),"NOT FOUND")</f>
        <v>oppose</v>
      </c>
      <c r="D115" t="str" cm="1">
        <f t="array" ref="D115">IFERROR(LOWER(TRIM(INDEX('gpt-5.4-mini'!A:K,MATCH(A115,'gpt-5.4-mini'!A:A,0),$W$12))),"NOT FOUND")</f>
        <v>oppose</v>
      </c>
      <c r="E115" t="str" cm="1">
        <f t="array" ref="E115">IFERROR(LOWER(TRIM(INDEX('claude-sonnet-4-6'!A:K,MATCH(A115,'claude-sonnet-4-6'!A:A,0),$W$12))),"NOT FOUND")</f>
        <v>oppose</v>
      </c>
      <c r="F115" t="b">
        <f t="shared" si="9"/>
        <v>1</v>
      </c>
      <c r="G115" t="b">
        <f t="shared" si="10"/>
        <v>1</v>
      </c>
      <c r="H115" t="b">
        <f t="shared" si="11"/>
        <v>0</v>
      </c>
      <c r="I115" t="str">
        <f t="shared" si="12"/>
        <v>oppose</v>
      </c>
      <c r="J115" t="str">
        <f t="shared" si="13"/>
        <v/>
      </c>
    </row>
    <row r="116" spans="1:10" x14ac:dyDescent="0.2">
      <c r="A116">
        <f>'Hand Coded'!A116</f>
        <v>5174</v>
      </c>
      <c r="B116" t="str" cm="1">
        <f t="array" ref="B116">LOWER(TRIM(INDEX('Hand Coded'!A:G,ROW(),$W$11)))</f>
        <v>oppose</v>
      </c>
      <c r="C116" t="str" cm="1">
        <f t="array" ref="C116">IFERROR(LOWER(TRIM(INDEX('gemini-3.1-flash-lite-preview'!A:K,MATCH(A116,'gemini-3.1-flash-lite-preview'!A:A,0),$W$12))),"NOT FOUND")</f>
        <v>oppose</v>
      </c>
      <c r="D116" t="str" cm="1">
        <f t="array" ref="D116">IFERROR(LOWER(TRIM(INDEX('gpt-5.4-mini'!A:K,MATCH(A116,'gpt-5.4-mini'!A:A,0),$W$12))),"NOT FOUND")</f>
        <v>oppose</v>
      </c>
      <c r="E116" t="str" cm="1">
        <f t="array" ref="E116">IFERROR(LOWER(TRIM(INDEX('claude-sonnet-4-6'!A:K,MATCH(A116,'claude-sonnet-4-6'!A:A,0),$W$12))),"NOT FOUND")</f>
        <v>oppose</v>
      </c>
      <c r="F116" t="b">
        <f t="shared" si="9"/>
        <v>1</v>
      </c>
      <c r="G116" t="b">
        <f t="shared" si="10"/>
        <v>1</v>
      </c>
      <c r="H116" t="b">
        <f t="shared" si="11"/>
        <v>0</v>
      </c>
      <c r="I116" t="str">
        <f t="shared" si="12"/>
        <v>oppose</v>
      </c>
      <c r="J116" t="str">
        <f t="shared" si="13"/>
        <v/>
      </c>
    </row>
    <row r="117" spans="1:10" x14ac:dyDescent="0.2">
      <c r="A117">
        <f>'Hand Coded'!A117</f>
        <v>5315</v>
      </c>
      <c r="B117" t="str" cm="1">
        <f t="array" ref="B117">LOWER(TRIM(INDEX('Hand Coded'!A:G,ROW(),$W$11)))</f>
        <v>oppose</v>
      </c>
      <c r="C117" t="str" cm="1">
        <f t="array" ref="C117">IFERROR(LOWER(TRIM(INDEX('gemini-3.1-flash-lite-preview'!A:K,MATCH(A117,'gemini-3.1-flash-lite-preview'!A:A,0),$W$12))),"NOT FOUND")</f>
        <v>oppose</v>
      </c>
      <c r="D117" t="str" cm="1">
        <f t="array" ref="D117">IFERROR(LOWER(TRIM(INDEX('gpt-5.4-mini'!A:K,MATCH(A117,'gpt-5.4-mini'!A:A,0),$W$12))),"NOT FOUND")</f>
        <v>oppose</v>
      </c>
      <c r="E117" t="str" cm="1">
        <f t="array" ref="E117">IFERROR(LOWER(TRIM(INDEX('claude-sonnet-4-6'!A:K,MATCH(A117,'claude-sonnet-4-6'!A:A,0),$W$12))),"NOT FOUND")</f>
        <v>oppose</v>
      </c>
      <c r="F117" t="b">
        <f t="shared" si="9"/>
        <v>1</v>
      </c>
      <c r="G117" t="b">
        <f t="shared" si="10"/>
        <v>1</v>
      </c>
      <c r="H117" t="b">
        <f t="shared" si="11"/>
        <v>0</v>
      </c>
      <c r="I117" t="str">
        <f t="shared" si="12"/>
        <v>oppose</v>
      </c>
      <c r="J117" t="str">
        <f t="shared" si="13"/>
        <v/>
      </c>
    </row>
    <row r="118" spans="1:10" x14ac:dyDescent="0.2">
      <c r="A118">
        <f>'Hand Coded'!A118</f>
        <v>5333</v>
      </c>
      <c r="B118" t="str" cm="1">
        <f t="array" ref="B118">LOWER(TRIM(INDEX('Hand Coded'!A:G,ROW(),$W$11)))</f>
        <v>support</v>
      </c>
      <c r="C118" t="str" cm="1">
        <f t="array" ref="C118">IFERROR(LOWER(TRIM(INDEX('gemini-3.1-flash-lite-preview'!A:K,MATCH(A118,'gemini-3.1-flash-lite-preview'!A:A,0),$W$12))),"NOT FOUND")</f>
        <v>support</v>
      </c>
      <c r="D118" t="str" cm="1">
        <f t="array" ref="D118">IFERROR(LOWER(TRIM(INDEX('gpt-5.4-mini'!A:K,MATCH(A118,'gpt-5.4-mini'!A:A,0),$W$12))),"NOT FOUND")</f>
        <v>support</v>
      </c>
      <c r="E118" t="str" cm="1">
        <f t="array" ref="E118">IFERROR(LOWER(TRIM(INDEX('claude-sonnet-4-6'!A:K,MATCH(A118,'claude-sonnet-4-6'!A:A,0),$W$12))),"NOT FOUND")</f>
        <v>support</v>
      </c>
      <c r="F118" t="b">
        <f t="shared" si="9"/>
        <v>1</v>
      </c>
      <c r="G118" t="b">
        <f t="shared" si="10"/>
        <v>1</v>
      </c>
      <c r="H118" t="b">
        <f t="shared" si="11"/>
        <v>0</v>
      </c>
      <c r="I118" t="str">
        <f t="shared" si="12"/>
        <v>support</v>
      </c>
      <c r="J118" t="str">
        <f t="shared" si="13"/>
        <v/>
      </c>
    </row>
    <row r="119" spans="1:10" x14ac:dyDescent="0.2">
      <c r="A119">
        <f>'Hand Coded'!A119</f>
        <v>5403</v>
      </c>
      <c r="B119" t="str" cm="1">
        <f t="array" ref="B119">LOWER(TRIM(INDEX('Hand Coded'!A:G,ROW(),$W$11)))</f>
        <v>support</v>
      </c>
      <c r="C119" t="str" cm="1">
        <f t="array" ref="C119">IFERROR(LOWER(TRIM(INDEX('gemini-3.1-flash-lite-preview'!A:K,MATCH(A119,'gemini-3.1-flash-lite-preview'!A:A,0),$W$12))),"NOT FOUND")</f>
        <v>neutral</v>
      </c>
      <c r="D119" t="str" cm="1">
        <f t="array" ref="D119">IFERROR(LOWER(TRIM(INDEX('gpt-5.4-mini'!A:K,MATCH(A119,'gpt-5.4-mini'!A:A,0),$W$12))),"NOT FOUND")</f>
        <v>support</v>
      </c>
      <c r="E119" t="str" cm="1">
        <f t="array" ref="E119">IFERROR(LOWER(TRIM(INDEX('claude-sonnet-4-6'!A:K,MATCH(A119,'claude-sonnet-4-6'!A:A,0),$W$12))),"NOT FOUND")</f>
        <v>neutral</v>
      </c>
      <c r="F119" t="b">
        <f t="shared" si="9"/>
        <v>0</v>
      </c>
      <c r="G119" t="str">
        <f t="shared" si="10"/>
        <v>N/A</v>
      </c>
      <c r="H119" t="b">
        <f t="shared" si="11"/>
        <v>0</v>
      </c>
      <c r="I119" t="str">
        <f t="shared" si="12"/>
        <v>No consensus</v>
      </c>
      <c r="J119" t="str">
        <f t="shared" si="13"/>
        <v/>
      </c>
    </row>
    <row r="120" spans="1:10" x14ac:dyDescent="0.2">
      <c r="A120">
        <f>'Hand Coded'!A120</f>
        <v>5476</v>
      </c>
      <c r="B120" t="str" cm="1">
        <f t="array" ref="B120">LOWER(TRIM(INDEX('Hand Coded'!A:G,ROW(),$W$11)))</f>
        <v>support</v>
      </c>
      <c r="C120" t="str" cm="1">
        <f t="array" ref="C120">IFERROR(LOWER(TRIM(INDEX('gemini-3.1-flash-lite-preview'!A:K,MATCH(A120,'gemini-3.1-flash-lite-preview'!A:A,0),$W$12))),"NOT FOUND")</f>
        <v>support</v>
      </c>
      <c r="D120" t="str" cm="1">
        <f t="array" ref="D120">IFERROR(LOWER(TRIM(INDEX('gpt-5.4-mini'!A:K,MATCH(A120,'gpt-5.4-mini'!A:A,0),$W$12))),"NOT FOUND")</f>
        <v>support with changes</v>
      </c>
      <c r="E120" t="str" cm="1">
        <f t="array" ref="E120">IFERROR(LOWER(TRIM(INDEX('claude-sonnet-4-6'!A:K,MATCH(A120,'claude-sonnet-4-6'!A:A,0),$W$12))),"NOT FOUND")</f>
        <v>support</v>
      </c>
      <c r="F120" t="b">
        <f t="shared" si="9"/>
        <v>0</v>
      </c>
      <c r="G120" t="str">
        <f t="shared" si="10"/>
        <v>N/A</v>
      </c>
      <c r="H120" t="b">
        <f t="shared" si="11"/>
        <v>0</v>
      </c>
      <c r="I120" t="str">
        <f t="shared" si="12"/>
        <v>No consensus</v>
      </c>
      <c r="J120" t="str">
        <f t="shared" si="13"/>
        <v/>
      </c>
    </row>
    <row r="121" spans="1:10" x14ac:dyDescent="0.2">
      <c r="A121">
        <f>'Hand Coded'!A121</f>
        <v>5800</v>
      </c>
      <c r="B121" t="str" cm="1">
        <f t="array" ref="B121">LOWER(TRIM(INDEX('Hand Coded'!A:G,ROW(),$W$11)))</f>
        <v>oppose</v>
      </c>
      <c r="C121" t="str" cm="1">
        <f t="array" ref="C121">IFERROR(LOWER(TRIM(INDEX('gemini-3.1-flash-lite-preview'!A:K,MATCH(A121,'gemini-3.1-flash-lite-preview'!A:A,0),$W$12))),"NOT FOUND")</f>
        <v>oppose</v>
      </c>
      <c r="D121" t="str" cm="1">
        <f t="array" ref="D121">IFERROR(LOWER(TRIM(INDEX('gpt-5.4-mini'!A:K,MATCH(A121,'gpt-5.4-mini'!A:A,0),$W$12))),"NOT FOUND")</f>
        <v>neutral</v>
      </c>
      <c r="E121" t="str" cm="1">
        <f t="array" ref="E121">IFERROR(LOWER(TRIM(INDEX('claude-sonnet-4-6'!A:K,MATCH(A121,'claude-sonnet-4-6'!A:A,0),$W$12))),"NOT FOUND")</f>
        <v>oppose</v>
      </c>
      <c r="F121" t="b">
        <f t="shared" si="9"/>
        <v>0</v>
      </c>
      <c r="G121" t="str">
        <f t="shared" si="10"/>
        <v>N/A</v>
      </c>
      <c r="H121" t="b">
        <f t="shared" si="11"/>
        <v>0</v>
      </c>
      <c r="I121" t="str">
        <f t="shared" si="12"/>
        <v>No consensus</v>
      </c>
      <c r="J121" t="str">
        <f t="shared" si="13"/>
        <v/>
      </c>
    </row>
    <row r="122" spans="1:10" x14ac:dyDescent="0.2">
      <c r="A122">
        <f>'Hand Coded'!A122</f>
        <v>6291</v>
      </c>
      <c r="B122" t="str" cm="1">
        <f t="array" ref="B122">LOWER(TRIM(INDEX('Hand Coded'!A:G,ROW(),$W$11)))</f>
        <v>support</v>
      </c>
      <c r="C122" t="str" cm="1">
        <f t="array" ref="C122">IFERROR(LOWER(TRIM(INDEX('gemini-3.1-flash-lite-preview'!A:K,MATCH(A122,'gemini-3.1-flash-lite-preview'!A:A,0),$W$12))),"NOT FOUND")</f>
        <v>support</v>
      </c>
      <c r="D122" t="str" cm="1">
        <f t="array" ref="D122">IFERROR(LOWER(TRIM(INDEX('gpt-5.4-mini'!A:K,MATCH(A122,'gpt-5.4-mini'!A:A,0),$W$12))),"NOT FOUND")</f>
        <v>support</v>
      </c>
      <c r="E122" t="str" cm="1">
        <f t="array" ref="E122">IFERROR(LOWER(TRIM(INDEX('claude-sonnet-4-6'!A:K,MATCH(A122,'claude-sonnet-4-6'!A:A,0),$W$12))),"NOT FOUND")</f>
        <v>support</v>
      </c>
      <c r="F122" t="b">
        <f t="shared" si="9"/>
        <v>1</v>
      </c>
      <c r="G122" t="b">
        <f t="shared" si="10"/>
        <v>1</v>
      </c>
      <c r="H122" t="b">
        <f t="shared" si="11"/>
        <v>0</v>
      </c>
      <c r="I122" t="str">
        <f t="shared" si="12"/>
        <v>support</v>
      </c>
      <c r="J122" t="str">
        <f t="shared" si="13"/>
        <v/>
      </c>
    </row>
    <row r="123" spans="1:10" x14ac:dyDescent="0.2">
      <c r="A123">
        <f>'Hand Coded'!A123</f>
        <v>6315</v>
      </c>
      <c r="B123" t="str" cm="1">
        <f t="array" ref="B123">LOWER(TRIM(INDEX('Hand Coded'!A:G,ROW(),$W$11)))</f>
        <v>support with changes</v>
      </c>
      <c r="C123" t="str" cm="1">
        <f t="array" ref="C123">IFERROR(LOWER(TRIM(INDEX('gemini-3.1-flash-lite-preview'!A:K,MATCH(A123,'gemini-3.1-flash-lite-preview'!A:A,0),$W$12))),"NOT FOUND")</f>
        <v>support with changes</v>
      </c>
      <c r="D123" t="str" cm="1">
        <f t="array" ref="D123">IFERROR(LOWER(TRIM(INDEX('gpt-5.4-mini'!A:K,MATCH(A123,'gpt-5.4-mini'!A:A,0),$W$12))),"NOT FOUND")</f>
        <v>support with changes</v>
      </c>
      <c r="E123" t="str" cm="1">
        <f t="array" ref="E123">IFERROR(LOWER(TRIM(INDEX('claude-sonnet-4-6'!A:K,MATCH(A123,'claude-sonnet-4-6'!A:A,0),$W$12))),"NOT FOUND")</f>
        <v>support with changes</v>
      </c>
      <c r="F123" t="b">
        <f t="shared" si="9"/>
        <v>1</v>
      </c>
      <c r="G123" t="b">
        <f t="shared" si="10"/>
        <v>1</v>
      </c>
      <c r="H123" t="b">
        <f t="shared" si="11"/>
        <v>0</v>
      </c>
      <c r="I123" t="str">
        <f t="shared" si="12"/>
        <v>support with changes</v>
      </c>
      <c r="J123" t="str">
        <f t="shared" si="13"/>
        <v/>
      </c>
    </row>
    <row r="124" spans="1:10" x14ac:dyDescent="0.2">
      <c r="A124">
        <f>'Hand Coded'!A124</f>
        <v>6613</v>
      </c>
      <c r="B124" t="str" cm="1">
        <f t="array" ref="B124">LOWER(TRIM(INDEX('Hand Coded'!A:G,ROW(),$W$11)))</f>
        <v>support with changes</v>
      </c>
      <c r="C124" t="str" cm="1">
        <f t="array" ref="C124">IFERROR(LOWER(TRIM(INDEX('gemini-3.1-flash-lite-preview'!A:K,MATCH(A124,'gemini-3.1-flash-lite-preview'!A:A,0),$W$12))),"NOT FOUND")</f>
        <v>support with changes</v>
      </c>
      <c r="D124" t="str" cm="1">
        <f t="array" ref="D124">IFERROR(LOWER(TRIM(INDEX('gpt-5.4-mini'!A:K,MATCH(A124,'gpt-5.4-mini'!A:A,0),$W$12))),"NOT FOUND")</f>
        <v>support with changes</v>
      </c>
      <c r="E124" t="str" cm="1">
        <f t="array" ref="E124">IFERROR(LOWER(TRIM(INDEX('claude-sonnet-4-6'!A:K,MATCH(A124,'claude-sonnet-4-6'!A:A,0),$W$12))),"NOT FOUND")</f>
        <v>support with changes</v>
      </c>
      <c r="F124" t="b">
        <f t="shared" si="9"/>
        <v>1</v>
      </c>
      <c r="G124" t="b">
        <f t="shared" si="10"/>
        <v>1</v>
      </c>
      <c r="H124" t="b">
        <f t="shared" si="11"/>
        <v>0</v>
      </c>
      <c r="I124" t="str">
        <f t="shared" si="12"/>
        <v>support with changes</v>
      </c>
      <c r="J124" t="str">
        <f t="shared" si="13"/>
        <v/>
      </c>
    </row>
    <row r="125" spans="1:10" x14ac:dyDescent="0.2">
      <c r="A125">
        <f>'Hand Coded'!A125</f>
        <v>6971</v>
      </c>
      <c r="B125" t="str" cm="1">
        <f t="array" ref="B125">LOWER(TRIM(INDEX('Hand Coded'!A:G,ROW(),$W$11)))</f>
        <v>oppose</v>
      </c>
      <c r="C125" t="str" cm="1">
        <f t="array" ref="C125">IFERROR(LOWER(TRIM(INDEX('gemini-3.1-flash-lite-preview'!A:K,MATCH(A125,'gemini-3.1-flash-lite-preview'!A:A,0),$W$12))),"NOT FOUND")</f>
        <v>oppose</v>
      </c>
      <c r="D125" t="str" cm="1">
        <f t="array" ref="D125">IFERROR(LOWER(TRIM(INDEX('gpt-5.4-mini'!A:K,MATCH(A125,'gpt-5.4-mini'!A:A,0),$W$12))),"NOT FOUND")</f>
        <v>oppose</v>
      </c>
      <c r="E125" t="str" cm="1">
        <f t="array" ref="E125">IFERROR(LOWER(TRIM(INDEX('claude-sonnet-4-6'!A:K,MATCH(A125,'claude-sonnet-4-6'!A:A,0),$W$12))),"NOT FOUND")</f>
        <v>oppose</v>
      </c>
      <c r="F125" t="b">
        <f t="shared" si="9"/>
        <v>1</v>
      </c>
      <c r="G125" t="b">
        <f t="shared" si="10"/>
        <v>1</v>
      </c>
      <c r="H125" t="b">
        <f t="shared" si="11"/>
        <v>0</v>
      </c>
      <c r="I125" t="str">
        <f t="shared" si="12"/>
        <v>oppose</v>
      </c>
      <c r="J125" t="str">
        <f t="shared" si="13"/>
        <v/>
      </c>
    </row>
    <row r="126" spans="1:10" x14ac:dyDescent="0.2">
      <c r="A126">
        <f>'Hand Coded'!A126</f>
        <v>7345</v>
      </c>
      <c r="B126" t="str" cm="1">
        <f t="array" ref="B126">LOWER(TRIM(INDEX('Hand Coded'!A:G,ROW(),$W$11)))</f>
        <v>oppose</v>
      </c>
      <c r="C126" t="str" cm="1">
        <f t="array" ref="C126">IFERROR(LOWER(TRIM(INDEX('gemini-3.1-flash-lite-preview'!A:K,MATCH(A126,'gemini-3.1-flash-lite-preview'!A:A,0),$W$12))),"NOT FOUND")</f>
        <v>oppose</v>
      </c>
      <c r="D126" t="str" cm="1">
        <f t="array" ref="D126">IFERROR(LOWER(TRIM(INDEX('gpt-5.4-mini'!A:K,MATCH(A126,'gpt-5.4-mini'!A:A,0),$W$12))),"NOT FOUND")</f>
        <v>oppose</v>
      </c>
      <c r="E126" t="str" cm="1">
        <f t="array" ref="E126">IFERROR(LOWER(TRIM(INDEX('claude-sonnet-4-6'!A:K,MATCH(A126,'claude-sonnet-4-6'!A:A,0),$W$12))),"NOT FOUND")</f>
        <v>oppose</v>
      </c>
      <c r="F126" t="b">
        <f t="shared" si="9"/>
        <v>1</v>
      </c>
      <c r="G126" t="b">
        <f t="shared" si="10"/>
        <v>1</v>
      </c>
      <c r="H126" t="b">
        <f t="shared" si="11"/>
        <v>0</v>
      </c>
      <c r="I126" t="str">
        <f t="shared" si="12"/>
        <v>oppose</v>
      </c>
      <c r="J126" t="str">
        <f t="shared" si="13"/>
        <v/>
      </c>
    </row>
    <row r="127" spans="1:10" x14ac:dyDescent="0.2">
      <c r="A127">
        <f>'Hand Coded'!A127</f>
        <v>7536</v>
      </c>
      <c r="B127" t="str" cm="1">
        <f t="array" ref="B127">LOWER(TRIM(INDEX('Hand Coded'!A:G,ROW(),$W$11)))</f>
        <v>support</v>
      </c>
      <c r="C127" t="str" cm="1">
        <f t="array" ref="C127">IFERROR(LOWER(TRIM(INDEX('gemini-3.1-flash-lite-preview'!A:K,MATCH(A127,'gemini-3.1-flash-lite-preview'!A:A,0),$W$12))),"NOT FOUND")</f>
        <v>support</v>
      </c>
      <c r="D127" t="str" cm="1">
        <f t="array" ref="D127">IFERROR(LOWER(TRIM(INDEX('gpt-5.4-mini'!A:K,MATCH(A127,'gpt-5.4-mini'!A:A,0),$W$12))),"NOT FOUND")</f>
        <v>support</v>
      </c>
      <c r="E127" t="str" cm="1">
        <f t="array" ref="E127">IFERROR(LOWER(TRIM(INDEX('claude-sonnet-4-6'!A:K,MATCH(A127,'claude-sonnet-4-6'!A:A,0),$W$12))),"NOT FOUND")</f>
        <v>support</v>
      </c>
      <c r="F127" t="b">
        <f t="shared" si="9"/>
        <v>1</v>
      </c>
      <c r="G127" t="b">
        <f t="shared" si="10"/>
        <v>1</v>
      </c>
      <c r="H127" t="b">
        <f t="shared" si="11"/>
        <v>0</v>
      </c>
      <c r="I127" t="str">
        <f t="shared" si="12"/>
        <v>support</v>
      </c>
      <c r="J127" t="str">
        <f t="shared" si="13"/>
        <v/>
      </c>
    </row>
    <row r="128" spans="1:10" x14ac:dyDescent="0.2">
      <c r="A128">
        <f>'Hand Coded'!A128</f>
        <v>7788</v>
      </c>
      <c r="B128" t="str" cm="1">
        <f t="array" ref="B128">LOWER(TRIM(INDEX('Hand Coded'!A:G,ROW(),$W$11)))</f>
        <v>support with changes</v>
      </c>
      <c r="C128" t="str" cm="1">
        <f t="array" ref="C128">IFERROR(LOWER(TRIM(INDEX('gemini-3.1-flash-lite-preview'!A:K,MATCH(A128,'gemini-3.1-flash-lite-preview'!A:A,0),$W$12))),"NOT FOUND")</f>
        <v>support with changes</v>
      </c>
      <c r="D128" t="str" cm="1">
        <f t="array" ref="D128">IFERROR(LOWER(TRIM(INDEX('gpt-5.4-mini'!A:K,MATCH(A128,'gpt-5.4-mini'!A:A,0),$W$12))),"NOT FOUND")</f>
        <v>oppose</v>
      </c>
      <c r="E128" t="str" cm="1">
        <f t="array" ref="E128">IFERROR(LOWER(TRIM(INDEX('claude-sonnet-4-6'!A:K,MATCH(A128,'claude-sonnet-4-6'!A:A,0),$W$12))),"NOT FOUND")</f>
        <v>support with changes</v>
      </c>
      <c r="F128" t="b">
        <f t="shared" si="9"/>
        <v>0</v>
      </c>
      <c r="G128" t="str">
        <f t="shared" si="10"/>
        <v>N/A</v>
      </c>
      <c r="H128" t="b">
        <f t="shared" si="11"/>
        <v>0</v>
      </c>
      <c r="I128" t="str">
        <f t="shared" si="12"/>
        <v>No consensus</v>
      </c>
      <c r="J128" t="str">
        <f t="shared" si="13"/>
        <v/>
      </c>
    </row>
    <row r="129" spans="1:10" x14ac:dyDescent="0.2">
      <c r="A129">
        <f>'Hand Coded'!A129</f>
        <v>7805</v>
      </c>
      <c r="B129" t="str" cm="1">
        <f t="array" ref="B129">LOWER(TRIM(INDEX('Hand Coded'!A:G,ROW(),$W$11)))</f>
        <v>oppose</v>
      </c>
      <c r="C129" t="str" cm="1">
        <f t="array" ref="C129">IFERROR(LOWER(TRIM(INDEX('gemini-3.1-flash-lite-preview'!A:K,MATCH(A129,'gemini-3.1-flash-lite-preview'!A:A,0),$W$12))),"NOT FOUND")</f>
        <v>oppose</v>
      </c>
      <c r="D129" t="str" cm="1">
        <f t="array" ref="D129">IFERROR(LOWER(TRIM(INDEX('gpt-5.4-mini'!A:K,MATCH(A129,'gpt-5.4-mini'!A:A,0),$W$12))),"NOT FOUND")</f>
        <v>oppose</v>
      </c>
      <c r="E129" t="str" cm="1">
        <f t="array" ref="E129">IFERROR(LOWER(TRIM(INDEX('claude-sonnet-4-6'!A:K,MATCH(A129,'claude-sonnet-4-6'!A:A,0),$W$12))),"NOT FOUND")</f>
        <v>oppose</v>
      </c>
      <c r="F129" t="b">
        <f t="shared" si="9"/>
        <v>1</v>
      </c>
      <c r="G129" t="b">
        <f t="shared" si="10"/>
        <v>1</v>
      </c>
      <c r="H129" t="b">
        <f t="shared" si="11"/>
        <v>0</v>
      </c>
      <c r="I129" t="str">
        <f t="shared" si="12"/>
        <v>oppose</v>
      </c>
      <c r="J129" t="str">
        <f t="shared" si="13"/>
        <v/>
      </c>
    </row>
    <row r="130" spans="1:10" x14ac:dyDescent="0.2">
      <c r="A130">
        <f>'Hand Coded'!A130</f>
        <v>7837</v>
      </c>
      <c r="B130" t="str" cm="1">
        <f t="array" ref="B130">LOWER(TRIM(INDEX('Hand Coded'!A:G,ROW(),$W$11)))</f>
        <v>oppose</v>
      </c>
      <c r="C130" t="str" cm="1">
        <f t="array" ref="C130">IFERROR(LOWER(TRIM(INDEX('gemini-3.1-flash-lite-preview'!A:K,MATCH(A130,'gemini-3.1-flash-lite-preview'!A:A,0),$W$12))),"NOT FOUND")</f>
        <v>oppose</v>
      </c>
      <c r="D130" t="str" cm="1">
        <f t="array" ref="D130">IFERROR(LOWER(TRIM(INDEX('gpt-5.4-mini'!A:K,MATCH(A130,'gpt-5.4-mini'!A:A,0),$W$12))),"NOT FOUND")</f>
        <v>neutral</v>
      </c>
      <c r="E130" t="str" cm="1">
        <f t="array" ref="E130">IFERROR(LOWER(TRIM(INDEX('claude-sonnet-4-6'!A:K,MATCH(A130,'claude-sonnet-4-6'!A:A,0),$W$12))),"NOT FOUND")</f>
        <v>oppose</v>
      </c>
      <c r="F130" t="b">
        <f t="shared" si="9"/>
        <v>0</v>
      </c>
      <c r="G130" t="str">
        <f t="shared" si="10"/>
        <v>N/A</v>
      </c>
      <c r="H130" t="b">
        <f t="shared" si="11"/>
        <v>0</v>
      </c>
      <c r="I130" t="str">
        <f t="shared" si="12"/>
        <v>No consensus</v>
      </c>
      <c r="J130" t="str">
        <f t="shared" si="13"/>
        <v/>
      </c>
    </row>
    <row r="131" spans="1:10" x14ac:dyDescent="0.2">
      <c r="A131">
        <f>'Hand Coded'!A131</f>
        <v>7995</v>
      </c>
      <c r="B131" t="str" cm="1">
        <f t="array" ref="B131">LOWER(TRIM(INDEX('Hand Coded'!A:G,ROW(),$W$11)))</f>
        <v>neutral</v>
      </c>
      <c r="C131" t="str" cm="1">
        <f t="array" ref="C131">IFERROR(LOWER(TRIM(INDEX('gemini-3.1-flash-lite-preview'!A:K,MATCH(A131,'gemini-3.1-flash-lite-preview'!A:A,0),$W$12))),"NOT FOUND")</f>
        <v>support with changes</v>
      </c>
      <c r="D131" t="str" cm="1">
        <f t="array" ref="D131">IFERROR(LOWER(TRIM(INDEX('gpt-5.4-mini'!A:K,MATCH(A131,'gpt-5.4-mini'!A:A,0),$W$12))),"NOT FOUND")</f>
        <v>neutral</v>
      </c>
      <c r="E131" t="str" cm="1">
        <f t="array" ref="E131">IFERROR(LOWER(TRIM(INDEX('claude-sonnet-4-6'!A:K,MATCH(A131,'claude-sonnet-4-6'!A:A,0),$W$12))),"NOT FOUND")</f>
        <v>support with changes</v>
      </c>
      <c r="F131" t="b">
        <f t="shared" ref="F131:F194" si="14">AND(C131=D131,D131=E131)</f>
        <v>0</v>
      </c>
      <c r="G131" t="str">
        <f t="shared" ref="G131:G194" si="15">IF(F131,B131=C131,"N/A")</f>
        <v>N/A</v>
      </c>
      <c r="H131" t="b">
        <f t="shared" ref="H131:H194" si="16">AND(F131,B131&lt;&gt;C131)</f>
        <v>0</v>
      </c>
      <c r="I131" t="str">
        <f t="shared" ref="I131:I194" si="17">IF(F131,C131,"No consensus")</f>
        <v>No consensus</v>
      </c>
      <c r="J131" t="str">
        <f t="shared" ref="J131:J194" si="18">IF(H131,B131&amp;" → "&amp;I131,"")</f>
        <v/>
      </c>
    </row>
    <row r="132" spans="1:10" x14ac:dyDescent="0.2">
      <c r="A132">
        <f>'Hand Coded'!A132</f>
        <v>8232</v>
      </c>
      <c r="B132" t="str" cm="1">
        <f t="array" ref="B132">LOWER(TRIM(INDEX('Hand Coded'!A:G,ROW(),$W$11)))</f>
        <v>oppose</v>
      </c>
      <c r="C132" t="str" cm="1">
        <f t="array" ref="C132">IFERROR(LOWER(TRIM(INDEX('gemini-3.1-flash-lite-preview'!A:K,MATCH(A132,'gemini-3.1-flash-lite-preview'!A:A,0),$W$12))),"NOT FOUND")</f>
        <v>oppose</v>
      </c>
      <c r="D132" t="str" cm="1">
        <f t="array" ref="D132">IFERROR(LOWER(TRIM(INDEX('gpt-5.4-mini'!A:K,MATCH(A132,'gpt-5.4-mini'!A:A,0),$W$12))),"NOT FOUND")</f>
        <v>neutral</v>
      </c>
      <c r="E132" t="str" cm="1">
        <f t="array" ref="E132">IFERROR(LOWER(TRIM(INDEX('claude-sonnet-4-6'!A:K,MATCH(A132,'claude-sonnet-4-6'!A:A,0),$W$12))),"NOT FOUND")</f>
        <v>oppose</v>
      </c>
      <c r="F132" t="b">
        <f t="shared" si="14"/>
        <v>0</v>
      </c>
      <c r="G132" t="str">
        <f t="shared" si="15"/>
        <v>N/A</v>
      </c>
      <c r="H132" t="b">
        <f t="shared" si="16"/>
        <v>0</v>
      </c>
      <c r="I132" t="str">
        <f t="shared" si="17"/>
        <v>No consensus</v>
      </c>
      <c r="J132" t="str">
        <f t="shared" si="18"/>
        <v/>
      </c>
    </row>
    <row r="133" spans="1:10" x14ac:dyDescent="0.2">
      <c r="A133">
        <f>'Hand Coded'!A133</f>
        <v>8263</v>
      </c>
      <c r="B133" t="str" cm="1">
        <f t="array" ref="B133">LOWER(TRIM(INDEX('Hand Coded'!A:G,ROW(),$W$11)))</f>
        <v>neutral</v>
      </c>
      <c r="C133" t="str" cm="1">
        <f t="array" ref="C133">IFERROR(LOWER(TRIM(INDEX('gemini-3.1-flash-lite-preview'!A:K,MATCH(A133,'gemini-3.1-flash-lite-preview'!A:A,0),$W$12))),"NOT FOUND")</f>
        <v>neutral</v>
      </c>
      <c r="D133" t="str" cm="1">
        <f t="array" ref="D133">IFERROR(LOWER(TRIM(INDEX('gpt-5.4-mini'!A:K,MATCH(A133,'gpt-5.4-mini'!A:A,0),$W$12))),"NOT FOUND")</f>
        <v>neutral</v>
      </c>
      <c r="E133" t="str" cm="1">
        <f t="array" ref="E133">IFERROR(LOWER(TRIM(INDEX('claude-sonnet-4-6'!A:K,MATCH(A133,'claude-sonnet-4-6'!A:A,0),$W$12))),"NOT FOUND")</f>
        <v>support with changes</v>
      </c>
      <c r="F133" t="b">
        <f t="shared" si="14"/>
        <v>0</v>
      </c>
      <c r="G133" t="str">
        <f t="shared" si="15"/>
        <v>N/A</v>
      </c>
      <c r="H133" t="b">
        <f t="shared" si="16"/>
        <v>0</v>
      </c>
      <c r="I133" t="str">
        <f t="shared" si="17"/>
        <v>No consensus</v>
      </c>
      <c r="J133" t="str">
        <f t="shared" si="18"/>
        <v/>
      </c>
    </row>
    <row r="134" spans="1:10" x14ac:dyDescent="0.2">
      <c r="A134">
        <f>'Hand Coded'!A134</f>
        <v>8366</v>
      </c>
      <c r="B134" t="str" cm="1">
        <f t="array" ref="B134">LOWER(TRIM(INDEX('Hand Coded'!A:G,ROW(),$W$11)))</f>
        <v>oppose</v>
      </c>
      <c r="C134" t="str" cm="1">
        <f t="array" ref="C134">IFERROR(LOWER(TRIM(INDEX('gemini-3.1-flash-lite-preview'!A:K,MATCH(A134,'gemini-3.1-flash-lite-preview'!A:A,0),$W$12))),"NOT FOUND")</f>
        <v>oppose</v>
      </c>
      <c r="D134" t="str" cm="1">
        <f t="array" ref="D134">IFERROR(LOWER(TRIM(INDEX('gpt-5.4-mini'!A:K,MATCH(A134,'gpt-5.4-mini'!A:A,0),$W$12))),"NOT FOUND")</f>
        <v>oppose</v>
      </c>
      <c r="E134" t="str" cm="1">
        <f t="array" ref="E134">IFERROR(LOWER(TRIM(INDEX('claude-sonnet-4-6'!A:K,MATCH(A134,'claude-sonnet-4-6'!A:A,0),$W$12))),"NOT FOUND")</f>
        <v>oppose</v>
      </c>
      <c r="F134" t="b">
        <f t="shared" si="14"/>
        <v>1</v>
      </c>
      <c r="G134" t="b">
        <f t="shared" si="15"/>
        <v>1</v>
      </c>
      <c r="H134" t="b">
        <f t="shared" si="16"/>
        <v>0</v>
      </c>
      <c r="I134" t="str">
        <f t="shared" si="17"/>
        <v>oppose</v>
      </c>
      <c r="J134" t="str">
        <f t="shared" si="18"/>
        <v/>
      </c>
    </row>
    <row r="135" spans="1:10" x14ac:dyDescent="0.2">
      <c r="A135">
        <f>'Hand Coded'!A135</f>
        <v>8397</v>
      </c>
      <c r="B135" t="str" cm="1">
        <f t="array" ref="B135">LOWER(TRIM(INDEX('Hand Coded'!A:G,ROW(),$W$11)))</f>
        <v>oppose</v>
      </c>
      <c r="C135" t="str" cm="1">
        <f t="array" ref="C135">IFERROR(LOWER(TRIM(INDEX('gemini-3.1-flash-lite-preview'!A:K,MATCH(A135,'gemini-3.1-flash-lite-preview'!A:A,0),$W$12))),"NOT FOUND")</f>
        <v>oppose</v>
      </c>
      <c r="D135" t="str" cm="1">
        <f t="array" ref="D135">IFERROR(LOWER(TRIM(INDEX('gpt-5.4-mini'!A:K,MATCH(A135,'gpt-5.4-mini'!A:A,0),$W$12))),"NOT FOUND")</f>
        <v>oppose</v>
      </c>
      <c r="E135" t="str" cm="1">
        <f t="array" ref="E135">IFERROR(LOWER(TRIM(INDEX('claude-sonnet-4-6'!A:K,MATCH(A135,'claude-sonnet-4-6'!A:A,0),$W$12))),"NOT FOUND")</f>
        <v>oppose</v>
      </c>
      <c r="F135" t="b">
        <f t="shared" si="14"/>
        <v>1</v>
      </c>
      <c r="G135" t="b">
        <f t="shared" si="15"/>
        <v>1</v>
      </c>
      <c r="H135" t="b">
        <f t="shared" si="16"/>
        <v>0</v>
      </c>
      <c r="I135" t="str">
        <f t="shared" si="17"/>
        <v>oppose</v>
      </c>
      <c r="J135" t="str">
        <f t="shared" si="18"/>
        <v/>
      </c>
    </row>
    <row r="136" spans="1:10" x14ac:dyDescent="0.2">
      <c r="A136">
        <f>'Hand Coded'!A136</f>
        <v>8401</v>
      </c>
      <c r="B136" t="str" cm="1">
        <f t="array" ref="B136">LOWER(TRIM(INDEX('Hand Coded'!A:G,ROW(),$W$11)))</f>
        <v>support</v>
      </c>
      <c r="C136" t="str" cm="1">
        <f t="array" ref="C136">IFERROR(LOWER(TRIM(INDEX('gemini-3.1-flash-lite-preview'!A:K,MATCH(A136,'gemini-3.1-flash-lite-preview'!A:A,0),$W$12))),"NOT FOUND")</f>
        <v>support</v>
      </c>
      <c r="D136" t="str" cm="1">
        <f t="array" ref="D136">IFERROR(LOWER(TRIM(INDEX('gpt-5.4-mini'!A:K,MATCH(A136,'gpt-5.4-mini'!A:A,0),$W$12))),"NOT FOUND")</f>
        <v>support</v>
      </c>
      <c r="E136" t="str" cm="1">
        <f t="array" ref="E136">IFERROR(LOWER(TRIM(INDEX('claude-sonnet-4-6'!A:K,MATCH(A136,'claude-sonnet-4-6'!A:A,0),$W$12))),"NOT FOUND")</f>
        <v>support</v>
      </c>
      <c r="F136" t="b">
        <f t="shared" si="14"/>
        <v>1</v>
      </c>
      <c r="G136" t="b">
        <f t="shared" si="15"/>
        <v>1</v>
      </c>
      <c r="H136" t="b">
        <f t="shared" si="16"/>
        <v>0</v>
      </c>
      <c r="I136" t="str">
        <f t="shared" si="17"/>
        <v>support</v>
      </c>
      <c r="J136" t="str">
        <f t="shared" si="18"/>
        <v/>
      </c>
    </row>
    <row r="137" spans="1:10" x14ac:dyDescent="0.2">
      <c r="A137">
        <f>'Hand Coded'!A137</f>
        <v>8410</v>
      </c>
      <c r="B137" t="str" cm="1">
        <f t="array" ref="B137">LOWER(TRIM(INDEX('Hand Coded'!A:G,ROW(),$W$11)))</f>
        <v>oppose</v>
      </c>
      <c r="C137" t="str" cm="1">
        <f t="array" ref="C137">IFERROR(LOWER(TRIM(INDEX('gemini-3.1-flash-lite-preview'!A:K,MATCH(A137,'gemini-3.1-flash-lite-preview'!A:A,0),$W$12))),"NOT FOUND")</f>
        <v>oppose</v>
      </c>
      <c r="D137" t="str" cm="1">
        <f t="array" ref="D137">IFERROR(LOWER(TRIM(INDEX('gpt-5.4-mini'!A:K,MATCH(A137,'gpt-5.4-mini'!A:A,0),$W$12))),"NOT FOUND")</f>
        <v>oppose</v>
      </c>
      <c r="E137" t="str" cm="1">
        <f t="array" ref="E137">IFERROR(LOWER(TRIM(INDEX('claude-sonnet-4-6'!A:K,MATCH(A137,'claude-sonnet-4-6'!A:A,0),$W$12))),"NOT FOUND")</f>
        <v>oppose</v>
      </c>
      <c r="F137" t="b">
        <f t="shared" si="14"/>
        <v>1</v>
      </c>
      <c r="G137" t="b">
        <f t="shared" si="15"/>
        <v>1</v>
      </c>
      <c r="H137" t="b">
        <f t="shared" si="16"/>
        <v>0</v>
      </c>
      <c r="I137" t="str">
        <f t="shared" si="17"/>
        <v>oppose</v>
      </c>
      <c r="J137" t="str">
        <f t="shared" si="18"/>
        <v/>
      </c>
    </row>
    <row r="138" spans="1:10" x14ac:dyDescent="0.2">
      <c r="A138">
        <f>'Hand Coded'!A138</f>
        <v>8425</v>
      </c>
      <c r="B138" t="str" cm="1">
        <f t="array" ref="B138">LOWER(TRIM(INDEX('Hand Coded'!A:G,ROW(),$W$11)))</f>
        <v>support</v>
      </c>
      <c r="C138" t="str" cm="1">
        <f t="array" ref="C138">IFERROR(LOWER(TRIM(INDEX('gemini-3.1-flash-lite-preview'!A:K,MATCH(A138,'gemini-3.1-flash-lite-preview'!A:A,0),$W$12))),"NOT FOUND")</f>
        <v>support</v>
      </c>
      <c r="D138" t="str" cm="1">
        <f t="array" ref="D138">IFERROR(LOWER(TRIM(INDEX('gpt-5.4-mini'!A:K,MATCH(A138,'gpt-5.4-mini'!A:A,0),$W$12))),"NOT FOUND")</f>
        <v>support</v>
      </c>
      <c r="E138" t="str" cm="1">
        <f t="array" ref="E138">IFERROR(LOWER(TRIM(INDEX('claude-sonnet-4-6'!A:K,MATCH(A138,'claude-sonnet-4-6'!A:A,0),$W$12))),"NOT FOUND")</f>
        <v>support</v>
      </c>
      <c r="F138" t="b">
        <f t="shared" si="14"/>
        <v>1</v>
      </c>
      <c r="G138" t="b">
        <f t="shared" si="15"/>
        <v>1</v>
      </c>
      <c r="H138" t="b">
        <f t="shared" si="16"/>
        <v>0</v>
      </c>
      <c r="I138" t="str">
        <f t="shared" si="17"/>
        <v>support</v>
      </c>
      <c r="J138" t="str">
        <f t="shared" si="18"/>
        <v/>
      </c>
    </row>
    <row r="139" spans="1:10" x14ac:dyDescent="0.2">
      <c r="A139">
        <f>'Hand Coded'!A139</f>
        <v>8509</v>
      </c>
      <c r="B139" t="str" cm="1">
        <f t="array" ref="B139">LOWER(TRIM(INDEX('Hand Coded'!A:G,ROW(),$W$11)))</f>
        <v>oppose</v>
      </c>
      <c r="C139" t="str" cm="1">
        <f t="array" ref="C139">IFERROR(LOWER(TRIM(INDEX('gemini-3.1-flash-lite-preview'!A:K,MATCH(A139,'gemini-3.1-flash-lite-preview'!A:A,0),$W$12))),"NOT FOUND")</f>
        <v>oppose</v>
      </c>
      <c r="D139" t="str" cm="1">
        <f t="array" ref="D139">IFERROR(LOWER(TRIM(INDEX('gpt-5.4-mini'!A:K,MATCH(A139,'gpt-5.4-mini'!A:A,0),$W$12))),"NOT FOUND")</f>
        <v>oppose</v>
      </c>
      <c r="E139" t="str" cm="1">
        <f t="array" ref="E139">IFERROR(LOWER(TRIM(INDEX('claude-sonnet-4-6'!A:K,MATCH(A139,'claude-sonnet-4-6'!A:A,0),$W$12))),"NOT FOUND")</f>
        <v>oppose</v>
      </c>
      <c r="F139" t="b">
        <f t="shared" si="14"/>
        <v>1</v>
      </c>
      <c r="G139" t="b">
        <f t="shared" si="15"/>
        <v>1</v>
      </c>
      <c r="H139" t="b">
        <f t="shared" si="16"/>
        <v>0</v>
      </c>
      <c r="I139" t="str">
        <f t="shared" si="17"/>
        <v>oppose</v>
      </c>
      <c r="J139" t="str">
        <f t="shared" si="18"/>
        <v/>
      </c>
    </row>
    <row r="140" spans="1:10" x14ac:dyDescent="0.2">
      <c r="A140">
        <f>'Hand Coded'!A140</f>
        <v>8589</v>
      </c>
      <c r="B140" t="str" cm="1">
        <f t="array" ref="B140">LOWER(TRIM(INDEX('Hand Coded'!A:G,ROW(),$W$11)))</f>
        <v>neutral</v>
      </c>
      <c r="C140" t="str" cm="1">
        <f t="array" ref="C140">IFERROR(LOWER(TRIM(INDEX('gemini-3.1-flash-lite-preview'!A:K,MATCH(A140,'gemini-3.1-flash-lite-preview'!A:A,0),$W$12))),"NOT FOUND")</f>
        <v>neutral</v>
      </c>
      <c r="D140" t="str" cm="1">
        <f t="array" ref="D140">IFERROR(LOWER(TRIM(INDEX('gpt-5.4-mini'!A:K,MATCH(A140,'gpt-5.4-mini'!A:A,0),$W$12))),"NOT FOUND")</f>
        <v>neutral</v>
      </c>
      <c r="E140" t="str" cm="1">
        <f t="array" ref="E140">IFERROR(LOWER(TRIM(INDEX('claude-sonnet-4-6'!A:K,MATCH(A140,'claude-sonnet-4-6'!A:A,0),$W$12))),"NOT FOUND")</f>
        <v>neutral</v>
      </c>
      <c r="F140" t="b">
        <f t="shared" si="14"/>
        <v>1</v>
      </c>
      <c r="G140" t="b">
        <f t="shared" si="15"/>
        <v>1</v>
      </c>
      <c r="H140" t="b">
        <f t="shared" si="16"/>
        <v>0</v>
      </c>
      <c r="I140" t="str">
        <f t="shared" si="17"/>
        <v>neutral</v>
      </c>
      <c r="J140" t="str">
        <f t="shared" si="18"/>
        <v/>
      </c>
    </row>
    <row r="141" spans="1:10" x14ac:dyDescent="0.2">
      <c r="A141">
        <f>'Hand Coded'!A141</f>
        <v>8600</v>
      </c>
      <c r="B141" t="str" cm="1">
        <f t="array" ref="B141">LOWER(TRIM(INDEX('Hand Coded'!A:G,ROW(),$W$11)))</f>
        <v>support with changes</v>
      </c>
      <c r="C141" t="str" cm="1">
        <f t="array" ref="C141">IFERROR(LOWER(TRIM(INDEX('gemini-3.1-flash-lite-preview'!A:K,MATCH(A141,'gemini-3.1-flash-lite-preview'!A:A,0),$W$12))),"NOT FOUND")</f>
        <v>support with changes</v>
      </c>
      <c r="D141" t="str" cm="1">
        <f t="array" ref="D141">IFERROR(LOWER(TRIM(INDEX('gpt-5.4-mini'!A:K,MATCH(A141,'gpt-5.4-mini'!A:A,0),$W$12))),"NOT FOUND")</f>
        <v>support with changes</v>
      </c>
      <c r="E141" t="str" cm="1">
        <f t="array" ref="E141">IFERROR(LOWER(TRIM(INDEX('claude-sonnet-4-6'!A:K,MATCH(A141,'claude-sonnet-4-6'!A:A,0),$W$12))),"NOT FOUND")</f>
        <v>support with changes</v>
      </c>
      <c r="F141" t="b">
        <f t="shared" si="14"/>
        <v>1</v>
      </c>
      <c r="G141" t="b">
        <f t="shared" si="15"/>
        <v>1</v>
      </c>
      <c r="H141" t="b">
        <f t="shared" si="16"/>
        <v>0</v>
      </c>
      <c r="I141" t="str">
        <f t="shared" si="17"/>
        <v>support with changes</v>
      </c>
      <c r="J141" t="str">
        <f t="shared" si="18"/>
        <v/>
      </c>
    </row>
    <row r="142" spans="1:10" x14ac:dyDescent="0.2">
      <c r="A142">
        <f>'Hand Coded'!A142</f>
        <v>8655</v>
      </c>
      <c r="B142" t="str" cm="1">
        <f t="array" ref="B142">LOWER(TRIM(INDEX('Hand Coded'!A:G,ROW(),$W$11)))</f>
        <v>support</v>
      </c>
      <c r="C142" t="str" cm="1">
        <f t="array" ref="C142">IFERROR(LOWER(TRIM(INDEX('gemini-3.1-flash-lite-preview'!A:K,MATCH(A142,'gemini-3.1-flash-lite-preview'!A:A,0),$W$12))),"NOT FOUND")</f>
        <v>neutral</v>
      </c>
      <c r="D142" t="str" cm="1">
        <f t="array" ref="D142">IFERROR(LOWER(TRIM(INDEX('gpt-5.4-mini'!A:K,MATCH(A142,'gpt-5.4-mini'!A:A,0),$W$12))),"NOT FOUND")</f>
        <v>neutral</v>
      </c>
      <c r="E142" t="str" cm="1">
        <f t="array" ref="E142">IFERROR(LOWER(TRIM(INDEX('claude-sonnet-4-6'!A:K,MATCH(A142,'claude-sonnet-4-6'!A:A,0),$W$12))),"NOT FOUND")</f>
        <v>neutral</v>
      </c>
      <c r="F142" t="b">
        <f t="shared" si="14"/>
        <v>1</v>
      </c>
      <c r="G142" t="b">
        <f t="shared" si="15"/>
        <v>0</v>
      </c>
      <c r="H142" t="b">
        <f t="shared" si="16"/>
        <v>1</v>
      </c>
      <c r="I142" t="str">
        <f t="shared" si="17"/>
        <v>neutral</v>
      </c>
      <c r="J142" t="str">
        <f t="shared" si="18"/>
        <v>support → neutral</v>
      </c>
    </row>
    <row r="143" spans="1:10" x14ac:dyDescent="0.2">
      <c r="A143">
        <f>'Hand Coded'!A143</f>
        <v>8850</v>
      </c>
      <c r="B143" t="str" cm="1">
        <f t="array" ref="B143">LOWER(TRIM(INDEX('Hand Coded'!A:G,ROW(),$W$11)))</f>
        <v>oppose</v>
      </c>
      <c r="C143" t="str" cm="1">
        <f t="array" ref="C143">IFERROR(LOWER(TRIM(INDEX('gemini-3.1-flash-lite-preview'!A:K,MATCH(A143,'gemini-3.1-flash-lite-preview'!A:A,0),$W$12))),"NOT FOUND")</f>
        <v>oppose</v>
      </c>
      <c r="D143" t="str" cm="1">
        <f t="array" ref="D143">IFERROR(LOWER(TRIM(INDEX('gpt-5.4-mini'!A:K,MATCH(A143,'gpt-5.4-mini'!A:A,0),$W$12))),"NOT FOUND")</f>
        <v>oppose</v>
      </c>
      <c r="E143" t="str" cm="1">
        <f t="array" ref="E143">IFERROR(LOWER(TRIM(INDEX('claude-sonnet-4-6'!A:K,MATCH(A143,'claude-sonnet-4-6'!A:A,0),$W$12))),"NOT FOUND")</f>
        <v>oppose</v>
      </c>
      <c r="F143" t="b">
        <f t="shared" si="14"/>
        <v>1</v>
      </c>
      <c r="G143" t="b">
        <f t="shared" si="15"/>
        <v>1</v>
      </c>
      <c r="H143" t="b">
        <f t="shared" si="16"/>
        <v>0</v>
      </c>
      <c r="I143" t="str">
        <f t="shared" si="17"/>
        <v>oppose</v>
      </c>
      <c r="J143" t="str">
        <f t="shared" si="18"/>
        <v/>
      </c>
    </row>
    <row r="144" spans="1:10" x14ac:dyDescent="0.2">
      <c r="A144">
        <f>'Hand Coded'!A144</f>
        <v>8852</v>
      </c>
      <c r="B144" t="str" cm="1">
        <f t="array" ref="B144">LOWER(TRIM(INDEX('Hand Coded'!A:G,ROW(),$W$11)))</f>
        <v>oppose</v>
      </c>
      <c r="C144" t="str" cm="1">
        <f t="array" ref="C144">IFERROR(LOWER(TRIM(INDEX('gemini-3.1-flash-lite-preview'!A:K,MATCH(A144,'gemini-3.1-flash-lite-preview'!A:A,0),$W$12))),"NOT FOUND")</f>
        <v>oppose</v>
      </c>
      <c r="D144" t="str" cm="1">
        <f t="array" ref="D144">IFERROR(LOWER(TRIM(INDEX('gpt-5.4-mini'!A:K,MATCH(A144,'gpt-5.4-mini'!A:A,0),$W$12))),"NOT FOUND")</f>
        <v>oppose</v>
      </c>
      <c r="E144" t="str" cm="1">
        <f t="array" ref="E144">IFERROR(LOWER(TRIM(INDEX('claude-sonnet-4-6'!A:K,MATCH(A144,'claude-sonnet-4-6'!A:A,0),$W$12))),"NOT FOUND")</f>
        <v>oppose</v>
      </c>
      <c r="F144" t="b">
        <f t="shared" si="14"/>
        <v>1</v>
      </c>
      <c r="G144" t="b">
        <f t="shared" si="15"/>
        <v>1</v>
      </c>
      <c r="H144" t="b">
        <f t="shared" si="16"/>
        <v>0</v>
      </c>
      <c r="I144" t="str">
        <f t="shared" si="17"/>
        <v>oppose</v>
      </c>
      <c r="J144" t="str">
        <f t="shared" si="18"/>
        <v/>
      </c>
    </row>
    <row r="145" spans="1:10" x14ac:dyDescent="0.2">
      <c r="A145">
        <f>'Hand Coded'!A145</f>
        <v>8919</v>
      </c>
      <c r="B145" t="str" cm="1">
        <f t="array" ref="B145">LOWER(TRIM(INDEX('Hand Coded'!A:G,ROW(),$W$11)))</f>
        <v>neutral</v>
      </c>
      <c r="C145" t="str" cm="1">
        <f t="array" ref="C145">IFERROR(LOWER(TRIM(INDEX('gemini-3.1-flash-lite-preview'!A:K,MATCH(A145,'gemini-3.1-flash-lite-preview'!A:A,0),$W$12))),"NOT FOUND")</f>
        <v>neutral</v>
      </c>
      <c r="D145" t="str" cm="1">
        <f t="array" ref="D145">IFERROR(LOWER(TRIM(INDEX('gpt-5.4-mini'!A:K,MATCH(A145,'gpt-5.4-mini'!A:A,0),$W$12))),"NOT FOUND")</f>
        <v>neutral</v>
      </c>
      <c r="E145" t="str" cm="1">
        <f t="array" ref="E145">IFERROR(LOWER(TRIM(INDEX('claude-sonnet-4-6'!A:K,MATCH(A145,'claude-sonnet-4-6'!A:A,0),$W$12))),"NOT FOUND")</f>
        <v>neutral</v>
      </c>
      <c r="F145" t="b">
        <f t="shared" si="14"/>
        <v>1</v>
      </c>
      <c r="G145" t="b">
        <f t="shared" si="15"/>
        <v>1</v>
      </c>
      <c r="H145" t="b">
        <f t="shared" si="16"/>
        <v>0</v>
      </c>
      <c r="I145" t="str">
        <f t="shared" si="17"/>
        <v>neutral</v>
      </c>
      <c r="J145" t="str">
        <f t="shared" si="18"/>
        <v/>
      </c>
    </row>
    <row r="146" spans="1:10" x14ac:dyDescent="0.2">
      <c r="A146">
        <f>'Hand Coded'!A146</f>
        <v>9023</v>
      </c>
      <c r="B146" t="str" cm="1">
        <f t="array" ref="B146">LOWER(TRIM(INDEX('Hand Coded'!A:G,ROW(),$W$11)))</f>
        <v>oppose</v>
      </c>
      <c r="C146" t="str" cm="1">
        <f t="array" ref="C146">IFERROR(LOWER(TRIM(INDEX('gemini-3.1-flash-lite-preview'!A:K,MATCH(A146,'gemini-3.1-flash-lite-preview'!A:A,0),$W$12))),"NOT FOUND")</f>
        <v>oppose</v>
      </c>
      <c r="D146" t="str" cm="1">
        <f t="array" ref="D146">IFERROR(LOWER(TRIM(INDEX('gpt-5.4-mini'!A:K,MATCH(A146,'gpt-5.4-mini'!A:A,0),$W$12))),"NOT FOUND")</f>
        <v>oppose</v>
      </c>
      <c r="E146" t="str" cm="1">
        <f t="array" ref="E146">IFERROR(LOWER(TRIM(INDEX('claude-sonnet-4-6'!A:K,MATCH(A146,'claude-sonnet-4-6'!A:A,0),$W$12))),"NOT FOUND")</f>
        <v>oppose</v>
      </c>
      <c r="F146" t="b">
        <f t="shared" si="14"/>
        <v>1</v>
      </c>
      <c r="G146" t="b">
        <f t="shared" si="15"/>
        <v>1</v>
      </c>
      <c r="H146" t="b">
        <f t="shared" si="16"/>
        <v>0</v>
      </c>
      <c r="I146" t="str">
        <f t="shared" si="17"/>
        <v>oppose</v>
      </c>
      <c r="J146" t="str">
        <f t="shared" si="18"/>
        <v/>
      </c>
    </row>
    <row r="147" spans="1:10" x14ac:dyDescent="0.2">
      <c r="A147">
        <f>'Hand Coded'!A147</f>
        <v>9293</v>
      </c>
      <c r="B147" t="str" cm="1">
        <f t="array" ref="B147">LOWER(TRIM(INDEX('Hand Coded'!A:G,ROW(),$W$11)))</f>
        <v>oppose</v>
      </c>
      <c r="C147" t="str" cm="1">
        <f t="array" ref="C147">IFERROR(LOWER(TRIM(INDEX('gemini-3.1-flash-lite-preview'!A:K,MATCH(A147,'gemini-3.1-flash-lite-preview'!A:A,0),$W$12))),"NOT FOUND")</f>
        <v>oppose</v>
      </c>
      <c r="D147" t="str" cm="1">
        <f t="array" ref="D147">IFERROR(LOWER(TRIM(INDEX('gpt-5.4-mini'!A:K,MATCH(A147,'gpt-5.4-mini'!A:A,0),$W$12))),"NOT FOUND")</f>
        <v>oppose</v>
      </c>
      <c r="E147" t="str" cm="1">
        <f t="array" ref="E147">IFERROR(LOWER(TRIM(INDEX('claude-sonnet-4-6'!A:K,MATCH(A147,'claude-sonnet-4-6'!A:A,0),$W$12))),"NOT FOUND")</f>
        <v>oppose</v>
      </c>
      <c r="F147" t="b">
        <f t="shared" si="14"/>
        <v>1</v>
      </c>
      <c r="G147" t="b">
        <f t="shared" si="15"/>
        <v>1</v>
      </c>
      <c r="H147" t="b">
        <f t="shared" si="16"/>
        <v>0</v>
      </c>
      <c r="I147" t="str">
        <f t="shared" si="17"/>
        <v>oppose</v>
      </c>
      <c r="J147" t="str">
        <f t="shared" si="18"/>
        <v/>
      </c>
    </row>
    <row r="148" spans="1:10" x14ac:dyDescent="0.2">
      <c r="A148">
        <f>'Hand Coded'!A148</f>
        <v>9343</v>
      </c>
      <c r="B148" t="str" cm="1">
        <f t="array" ref="B148">LOWER(TRIM(INDEX('Hand Coded'!A:G,ROW(),$W$11)))</f>
        <v>neutral</v>
      </c>
      <c r="C148" t="str" cm="1">
        <f t="array" ref="C148">IFERROR(LOWER(TRIM(INDEX('gemini-3.1-flash-lite-preview'!A:K,MATCH(A148,'gemini-3.1-flash-lite-preview'!A:A,0),$W$12))),"NOT FOUND")</f>
        <v>neutral</v>
      </c>
      <c r="D148" t="str" cm="1">
        <f t="array" ref="D148">IFERROR(LOWER(TRIM(INDEX('gpt-5.4-mini'!A:K,MATCH(A148,'gpt-5.4-mini'!A:A,0),$W$12))),"NOT FOUND")</f>
        <v>neutral</v>
      </c>
      <c r="E148" t="str" cm="1">
        <f t="array" ref="E148">IFERROR(LOWER(TRIM(INDEX('claude-sonnet-4-6'!A:K,MATCH(A148,'claude-sonnet-4-6'!A:A,0),$W$12))),"NOT FOUND")</f>
        <v>support with changes</v>
      </c>
      <c r="F148" t="b">
        <f t="shared" si="14"/>
        <v>0</v>
      </c>
      <c r="G148" t="str">
        <f t="shared" si="15"/>
        <v>N/A</v>
      </c>
      <c r="H148" t="b">
        <f t="shared" si="16"/>
        <v>0</v>
      </c>
      <c r="I148" t="str">
        <f t="shared" si="17"/>
        <v>No consensus</v>
      </c>
      <c r="J148" t="str">
        <f t="shared" si="18"/>
        <v/>
      </c>
    </row>
    <row r="149" spans="1:10" x14ac:dyDescent="0.2">
      <c r="A149">
        <f>'Hand Coded'!A149</f>
        <v>9366</v>
      </c>
      <c r="B149" t="str" cm="1">
        <f t="array" ref="B149">LOWER(TRIM(INDEX('Hand Coded'!A:G,ROW(),$W$11)))</f>
        <v>oppose</v>
      </c>
      <c r="C149" t="str" cm="1">
        <f t="array" ref="C149">IFERROR(LOWER(TRIM(INDEX('gemini-3.1-flash-lite-preview'!A:K,MATCH(A149,'gemini-3.1-flash-lite-preview'!A:A,0),$W$12))),"NOT FOUND")</f>
        <v>oppose</v>
      </c>
      <c r="D149" t="str" cm="1">
        <f t="array" ref="D149">IFERROR(LOWER(TRIM(INDEX('gpt-5.4-mini'!A:K,MATCH(A149,'gpt-5.4-mini'!A:A,0),$W$12))),"NOT FOUND")</f>
        <v>oppose</v>
      </c>
      <c r="E149" t="str" cm="1">
        <f t="array" ref="E149">IFERROR(LOWER(TRIM(INDEX('claude-sonnet-4-6'!A:K,MATCH(A149,'claude-sonnet-4-6'!A:A,0),$W$12))),"NOT FOUND")</f>
        <v>oppose</v>
      </c>
      <c r="F149" t="b">
        <f t="shared" si="14"/>
        <v>1</v>
      </c>
      <c r="G149" t="b">
        <f t="shared" si="15"/>
        <v>1</v>
      </c>
      <c r="H149" t="b">
        <f t="shared" si="16"/>
        <v>0</v>
      </c>
      <c r="I149" t="str">
        <f t="shared" si="17"/>
        <v>oppose</v>
      </c>
      <c r="J149" t="str">
        <f t="shared" si="18"/>
        <v/>
      </c>
    </row>
    <row r="150" spans="1:10" x14ac:dyDescent="0.2">
      <c r="A150">
        <f>'Hand Coded'!A150</f>
        <v>9370</v>
      </c>
      <c r="B150" t="str" cm="1">
        <f t="array" ref="B150">LOWER(TRIM(INDEX('Hand Coded'!A:G,ROW(),$W$11)))</f>
        <v>oppose</v>
      </c>
      <c r="C150" t="str" cm="1">
        <f t="array" ref="C150">IFERROR(LOWER(TRIM(INDEX('gemini-3.1-flash-lite-preview'!A:K,MATCH(A150,'gemini-3.1-flash-lite-preview'!A:A,0),$W$12))),"NOT FOUND")</f>
        <v>oppose</v>
      </c>
      <c r="D150" t="str" cm="1">
        <f t="array" ref="D150">IFERROR(LOWER(TRIM(INDEX('gpt-5.4-mini'!A:K,MATCH(A150,'gpt-5.4-mini'!A:A,0),$W$12))),"NOT FOUND")</f>
        <v>oppose</v>
      </c>
      <c r="E150" t="str" cm="1">
        <f t="array" ref="E150">IFERROR(LOWER(TRIM(INDEX('claude-sonnet-4-6'!A:K,MATCH(A150,'claude-sonnet-4-6'!A:A,0),$W$12))),"NOT FOUND")</f>
        <v>oppose</v>
      </c>
      <c r="F150" t="b">
        <f t="shared" si="14"/>
        <v>1</v>
      </c>
      <c r="G150" t="b">
        <f t="shared" si="15"/>
        <v>1</v>
      </c>
      <c r="H150" t="b">
        <f t="shared" si="16"/>
        <v>0</v>
      </c>
      <c r="I150" t="str">
        <f t="shared" si="17"/>
        <v>oppose</v>
      </c>
      <c r="J150" t="str">
        <f t="shared" si="18"/>
        <v/>
      </c>
    </row>
    <row r="151" spans="1:10" x14ac:dyDescent="0.2">
      <c r="A151">
        <f>'Hand Coded'!A151</f>
        <v>9444</v>
      </c>
      <c r="B151" t="str" cm="1">
        <f t="array" ref="B151">LOWER(TRIM(INDEX('Hand Coded'!A:G,ROW(),$W$11)))</f>
        <v>oppose</v>
      </c>
      <c r="C151" t="str" cm="1">
        <f t="array" ref="C151">IFERROR(LOWER(TRIM(INDEX('gemini-3.1-flash-lite-preview'!A:K,MATCH(A151,'gemini-3.1-flash-lite-preview'!A:A,0),$W$12))),"NOT FOUND")</f>
        <v>oppose</v>
      </c>
      <c r="D151" t="str" cm="1">
        <f t="array" ref="D151">IFERROR(LOWER(TRIM(INDEX('gpt-5.4-mini'!A:K,MATCH(A151,'gpt-5.4-mini'!A:A,0),$W$12))),"NOT FOUND")</f>
        <v>oppose</v>
      </c>
      <c r="E151" t="str" cm="1">
        <f t="array" ref="E151">IFERROR(LOWER(TRIM(INDEX('claude-sonnet-4-6'!A:K,MATCH(A151,'claude-sonnet-4-6'!A:A,0),$W$12))),"NOT FOUND")</f>
        <v>oppose</v>
      </c>
      <c r="F151" t="b">
        <f t="shared" si="14"/>
        <v>1</v>
      </c>
      <c r="G151" t="b">
        <f t="shared" si="15"/>
        <v>1</v>
      </c>
      <c r="H151" t="b">
        <f t="shared" si="16"/>
        <v>0</v>
      </c>
      <c r="I151" t="str">
        <f t="shared" si="17"/>
        <v>oppose</v>
      </c>
      <c r="J151" t="str">
        <f t="shared" si="18"/>
        <v/>
      </c>
    </row>
    <row r="152" spans="1:10" x14ac:dyDescent="0.2">
      <c r="A152">
        <f>'Hand Coded'!A152</f>
        <v>9447</v>
      </c>
      <c r="B152" t="str" cm="1">
        <f t="array" ref="B152">LOWER(TRIM(INDEX('Hand Coded'!A:G,ROW(),$W$11)))</f>
        <v>oppose</v>
      </c>
      <c r="C152" t="str" cm="1">
        <f t="array" ref="C152">IFERROR(LOWER(TRIM(INDEX('gemini-3.1-flash-lite-preview'!A:K,MATCH(A152,'gemini-3.1-flash-lite-preview'!A:A,0),$W$12))),"NOT FOUND")</f>
        <v>oppose</v>
      </c>
      <c r="D152" t="str" cm="1">
        <f t="array" ref="D152">IFERROR(LOWER(TRIM(INDEX('gpt-5.4-mini'!A:K,MATCH(A152,'gpt-5.4-mini'!A:A,0),$W$12))),"NOT FOUND")</f>
        <v>oppose</v>
      </c>
      <c r="E152" t="str" cm="1">
        <f t="array" ref="E152">IFERROR(LOWER(TRIM(INDEX('claude-sonnet-4-6'!A:K,MATCH(A152,'claude-sonnet-4-6'!A:A,0),$W$12))),"NOT FOUND")</f>
        <v>oppose</v>
      </c>
      <c r="F152" t="b">
        <f t="shared" si="14"/>
        <v>1</v>
      </c>
      <c r="G152" t="b">
        <f t="shared" si="15"/>
        <v>1</v>
      </c>
      <c r="H152" t="b">
        <f t="shared" si="16"/>
        <v>0</v>
      </c>
      <c r="I152" t="str">
        <f t="shared" si="17"/>
        <v>oppose</v>
      </c>
      <c r="J152" t="str">
        <f t="shared" si="18"/>
        <v/>
      </c>
    </row>
    <row r="153" spans="1:10" x14ac:dyDescent="0.2">
      <c r="A153">
        <f>'Hand Coded'!A153</f>
        <v>9452</v>
      </c>
      <c r="B153" t="str" cm="1">
        <f t="array" ref="B153">LOWER(TRIM(INDEX('Hand Coded'!A:G,ROW(),$W$11)))</f>
        <v>oppose</v>
      </c>
      <c r="C153" t="str" cm="1">
        <f t="array" ref="C153">IFERROR(LOWER(TRIM(INDEX('gemini-3.1-flash-lite-preview'!A:K,MATCH(A153,'gemini-3.1-flash-lite-preview'!A:A,0),$W$12))),"NOT FOUND")</f>
        <v>oppose</v>
      </c>
      <c r="D153" t="str" cm="1">
        <f t="array" ref="D153">IFERROR(LOWER(TRIM(INDEX('gpt-5.4-mini'!A:K,MATCH(A153,'gpt-5.4-mini'!A:A,0),$W$12))),"NOT FOUND")</f>
        <v>oppose</v>
      </c>
      <c r="E153" t="str" cm="1">
        <f t="array" ref="E153">IFERROR(LOWER(TRIM(INDEX('claude-sonnet-4-6'!A:K,MATCH(A153,'claude-sonnet-4-6'!A:A,0),$W$12))),"NOT FOUND")</f>
        <v>oppose</v>
      </c>
      <c r="F153" t="b">
        <f t="shared" si="14"/>
        <v>1</v>
      </c>
      <c r="G153" t="b">
        <f t="shared" si="15"/>
        <v>1</v>
      </c>
      <c r="H153" t="b">
        <f t="shared" si="16"/>
        <v>0</v>
      </c>
      <c r="I153" t="str">
        <f t="shared" si="17"/>
        <v>oppose</v>
      </c>
      <c r="J153" t="str">
        <f t="shared" si="18"/>
        <v/>
      </c>
    </row>
    <row r="154" spans="1:10" x14ac:dyDescent="0.2">
      <c r="A154">
        <f>'Hand Coded'!A154</f>
        <v>9454</v>
      </c>
      <c r="B154" t="str" cm="1">
        <f t="array" ref="B154">LOWER(TRIM(INDEX('Hand Coded'!A:G,ROW(),$W$11)))</f>
        <v>oppose</v>
      </c>
      <c r="C154" t="str" cm="1">
        <f t="array" ref="C154">IFERROR(LOWER(TRIM(INDEX('gemini-3.1-flash-lite-preview'!A:K,MATCH(A154,'gemini-3.1-flash-lite-preview'!A:A,0),$W$12))),"NOT FOUND")</f>
        <v>oppose</v>
      </c>
      <c r="D154" t="str" cm="1">
        <f t="array" ref="D154">IFERROR(LOWER(TRIM(INDEX('gpt-5.4-mini'!A:K,MATCH(A154,'gpt-5.4-mini'!A:A,0),$W$12))),"NOT FOUND")</f>
        <v>oppose</v>
      </c>
      <c r="E154" t="str" cm="1">
        <f t="array" ref="E154">IFERROR(LOWER(TRIM(INDEX('claude-sonnet-4-6'!A:K,MATCH(A154,'claude-sonnet-4-6'!A:A,0),$W$12))),"NOT FOUND")</f>
        <v>oppose</v>
      </c>
      <c r="F154" t="b">
        <f t="shared" si="14"/>
        <v>1</v>
      </c>
      <c r="G154" t="b">
        <f t="shared" si="15"/>
        <v>1</v>
      </c>
      <c r="H154" t="b">
        <f t="shared" si="16"/>
        <v>0</v>
      </c>
      <c r="I154" t="str">
        <f t="shared" si="17"/>
        <v>oppose</v>
      </c>
      <c r="J154" t="str">
        <f t="shared" si="18"/>
        <v/>
      </c>
    </row>
    <row r="155" spans="1:10" x14ac:dyDescent="0.2">
      <c r="A155">
        <f>'Hand Coded'!A155</f>
        <v>9456</v>
      </c>
      <c r="B155" t="str" cm="1">
        <f t="array" ref="B155">LOWER(TRIM(INDEX('Hand Coded'!A:G,ROW(),$W$11)))</f>
        <v>oppose</v>
      </c>
      <c r="C155" t="str" cm="1">
        <f t="array" ref="C155">IFERROR(LOWER(TRIM(INDEX('gemini-3.1-flash-lite-preview'!A:K,MATCH(A155,'gemini-3.1-flash-lite-preview'!A:A,0),$W$12))),"NOT FOUND")</f>
        <v>oppose</v>
      </c>
      <c r="D155" t="str" cm="1">
        <f t="array" ref="D155">IFERROR(LOWER(TRIM(INDEX('gpt-5.4-mini'!A:K,MATCH(A155,'gpt-5.4-mini'!A:A,0),$W$12))),"NOT FOUND")</f>
        <v>oppose</v>
      </c>
      <c r="E155" t="str" cm="1">
        <f t="array" ref="E155">IFERROR(LOWER(TRIM(INDEX('claude-sonnet-4-6'!A:K,MATCH(A155,'claude-sonnet-4-6'!A:A,0),$W$12))),"NOT FOUND")</f>
        <v>oppose</v>
      </c>
      <c r="F155" t="b">
        <f t="shared" si="14"/>
        <v>1</v>
      </c>
      <c r="G155" t="b">
        <f t="shared" si="15"/>
        <v>1</v>
      </c>
      <c r="H155" t="b">
        <f t="shared" si="16"/>
        <v>0</v>
      </c>
      <c r="I155" t="str">
        <f t="shared" si="17"/>
        <v>oppose</v>
      </c>
      <c r="J155" t="str">
        <f t="shared" si="18"/>
        <v/>
      </c>
    </row>
    <row r="156" spans="1:10" x14ac:dyDescent="0.2">
      <c r="A156">
        <f>'Hand Coded'!A156</f>
        <v>9505</v>
      </c>
      <c r="B156" t="str" cm="1">
        <f t="array" ref="B156">LOWER(TRIM(INDEX('Hand Coded'!A:G,ROW(),$W$11)))</f>
        <v>oppose</v>
      </c>
      <c r="C156" t="str" cm="1">
        <f t="array" ref="C156">IFERROR(LOWER(TRIM(INDEX('gemini-3.1-flash-lite-preview'!A:K,MATCH(A156,'gemini-3.1-flash-lite-preview'!A:A,0),$W$12))),"NOT FOUND")</f>
        <v>oppose</v>
      </c>
      <c r="D156" t="str" cm="1">
        <f t="array" ref="D156">IFERROR(LOWER(TRIM(INDEX('gpt-5.4-mini'!A:K,MATCH(A156,'gpt-5.4-mini'!A:A,0),$W$12))),"NOT FOUND")</f>
        <v>oppose</v>
      </c>
      <c r="E156" t="str" cm="1">
        <f t="array" ref="E156">IFERROR(LOWER(TRIM(INDEX('claude-sonnet-4-6'!A:K,MATCH(A156,'claude-sonnet-4-6'!A:A,0),$W$12))),"NOT FOUND")</f>
        <v>oppose</v>
      </c>
      <c r="F156" t="b">
        <f t="shared" si="14"/>
        <v>1</v>
      </c>
      <c r="G156" t="b">
        <f t="shared" si="15"/>
        <v>1</v>
      </c>
      <c r="H156" t="b">
        <f t="shared" si="16"/>
        <v>0</v>
      </c>
      <c r="I156" t="str">
        <f t="shared" si="17"/>
        <v>oppose</v>
      </c>
      <c r="J156" t="str">
        <f t="shared" si="18"/>
        <v/>
      </c>
    </row>
    <row r="157" spans="1:10" x14ac:dyDescent="0.2">
      <c r="A157">
        <f>'Hand Coded'!A157</f>
        <v>9506</v>
      </c>
      <c r="B157" t="str" cm="1">
        <f t="array" ref="B157">LOWER(TRIM(INDEX('Hand Coded'!A:G,ROW(),$W$11)))</f>
        <v>oppose</v>
      </c>
      <c r="C157" t="str" cm="1">
        <f t="array" ref="C157">IFERROR(LOWER(TRIM(INDEX('gemini-3.1-flash-lite-preview'!A:K,MATCH(A157,'gemini-3.1-flash-lite-preview'!A:A,0),$W$12))),"NOT FOUND")</f>
        <v>oppose</v>
      </c>
      <c r="D157" t="str" cm="1">
        <f t="array" ref="D157">IFERROR(LOWER(TRIM(INDEX('gpt-5.4-mini'!A:K,MATCH(A157,'gpt-5.4-mini'!A:A,0),$W$12))),"NOT FOUND")</f>
        <v>oppose</v>
      </c>
      <c r="E157" t="str" cm="1">
        <f t="array" ref="E157">IFERROR(LOWER(TRIM(INDEX('claude-sonnet-4-6'!A:K,MATCH(A157,'claude-sonnet-4-6'!A:A,0),$W$12))),"NOT FOUND")</f>
        <v>oppose</v>
      </c>
      <c r="F157" t="b">
        <f t="shared" si="14"/>
        <v>1</v>
      </c>
      <c r="G157" t="b">
        <f t="shared" si="15"/>
        <v>1</v>
      </c>
      <c r="H157" t="b">
        <f t="shared" si="16"/>
        <v>0</v>
      </c>
      <c r="I157" t="str">
        <f t="shared" si="17"/>
        <v>oppose</v>
      </c>
      <c r="J157" t="str">
        <f t="shared" si="18"/>
        <v/>
      </c>
    </row>
    <row r="158" spans="1:10" x14ac:dyDescent="0.2">
      <c r="A158">
        <f>'Hand Coded'!A158</f>
        <v>9561</v>
      </c>
      <c r="B158" t="str" cm="1">
        <f t="array" ref="B158">LOWER(TRIM(INDEX('Hand Coded'!A:G,ROW(),$W$11)))</f>
        <v>oppose</v>
      </c>
      <c r="C158" t="str" cm="1">
        <f t="array" ref="C158">IFERROR(LOWER(TRIM(INDEX('gemini-3.1-flash-lite-preview'!A:K,MATCH(A158,'gemini-3.1-flash-lite-preview'!A:A,0),$W$12))),"NOT FOUND")</f>
        <v>oppose</v>
      </c>
      <c r="D158" t="str" cm="1">
        <f t="array" ref="D158">IFERROR(LOWER(TRIM(INDEX('gpt-5.4-mini'!A:K,MATCH(A158,'gpt-5.4-mini'!A:A,0),$W$12))),"NOT FOUND")</f>
        <v>oppose</v>
      </c>
      <c r="E158" t="str" cm="1">
        <f t="array" ref="E158">IFERROR(LOWER(TRIM(INDEX('claude-sonnet-4-6'!A:K,MATCH(A158,'claude-sonnet-4-6'!A:A,0),$W$12))),"NOT FOUND")</f>
        <v>oppose</v>
      </c>
      <c r="F158" t="b">
        <f t="shared" si="14"/>
        <v>1</v>
      </c>
      <c r="G158" t="b">
        <f t="shared" si="15"/>
        <v>1</v>
      </c>
      <c r="H158" t="b">
        <f t="shared" si="16"/>
        <v>0</v>
      </c>
      <c r="I158" t="str">
        <f t="shared" si="17"/>
        <v>oppose</v>
      </c>
      <c r="J158" t="str">
        <f t="shared" si="18"/>
        <v/>
      </c>
    </row>
    <row r="159" spans="1:10" x14ac:dyDescent="0.2">
      <c r="A159">
        <f>'Hand Coded'!A159</f>
        <v>9602</v>
      </c>
      <c r="B159" t="str" cm="1">
        <f t="array" ref="B159">LOWER(TRIM(INDEX('Hand Coded'!A:G,ROW(),$W$11)))</f>
        <v>support with changes</v>
      </c>
      <c r="C159" t="str" cm="1">
        <f t="array" ref="C159">IFERROR(LOWER(TRIM(INDEX('gemini-3.1-flash-lite-preview'!A:K,MATCH(A159,'gemini-3.1-flash-lite-preview'!A:A,0),$W$12))),"NOT FOUND")</f>
        <v>support with changes</v>
      </c>
      <c r="D159" t="str" cm="1">
        <f t="array" ref="D159">IFERROR(LOWER(TRIM(INDEX('gpt-5.4-mini'!A:K,MATCH(A159,'gpt-5.4-mini'!A:A,0),$W$12))),"NOT FOUND")</f>
        <v>support with changes</v>
      </c>
      <c r="E159" t="str" cm="1">
        <f t="array" ref="E159">IFERROR(LOWER(TRIM(INDEX('claude-sonnet-4-6'!A:K,MATCH(A159,'claude-sonnet-4-6'!A:A,0),$W$12))),"NOT FOUND")</f>
        <v>support with changes</v>
      </c>
      <c r="F159" t="b">
        <f t="shared" si="14"/>
        <v>1</v>
      </c>
      <c r="G159" t="b">
        <f t="shared" si="15"/>
        <v>1</v>
      </c>
      <c r="H159" t="b">
        <f t="shared" si="16"/>
        <v>0</v>
      </c>
      <c r="I159" t="str">
        <f t="shared" si="17"/>
        <v>support with changes</v>
      </c>
      <c r="J159" t="str">
        <f t="shared" si="18"/>
        <v/>
      </c>
    </row>
    <row r="160" spans="1:10" x14ac:dyDescent="0.2">
      <c r="A160">
        <f>'Hand Coded'!A160</f>
        <v>9695</v>
      </c>
      <c r="B160" t="str" cm="1">
        <f t="array" ref="B160">LOWER(TRIM(INDEX('Hand Coded'!A:G,ROW(),$W$11)))</f>
        <v>oppose</v>
      </c>
      <c r="C160" t="str" cm="1">
        <f t="array" ref="C160">IFERROR(LOWER(TRIM(INDEX('gemini-3.1-flash-lite-preview'!A:K,MATCH(A160,'gemini-3.1-flash-lite-preview'!A:A,0),$W$12))),"NOT FOUND")</f>
        <v>oppose</v>
      </c>
      <c r="D160" t="str" cm="1">
        <f t="array" ref="D160">IFERROR(LOWER(TRIM(INDEX('gpt-5.4-mini'!A:K,MATCH(A160,'gpt-5.4-mini'!A:A,0),$W$12))),"NOT FOUND")</f>
        <v>oppose</v>
      </c>
      <c r="E160" t="str" cm="1">
        <f t="array" ref="E160">IFERROR(LOWER(TRIM(INDEX('claude-sonnet-4-6'!A:K,MATCH(A160,'claude-sonnet-4-6'!A:A,0),$W$12))),"NOT FOUND")</f>
        <v>oppose</v>
      </c>
      <c r="F160" t="b">
        <f t="shared" si="14"/>
        <v>1</v>
      </c>
      <c r="G160" t="b">
        <f t="shared" si="15"/>
        <v>1</v>
      </c>
      <c r="H160" t="b">
        <f t="shared" si="16"/>
        <v>0</v>
      </c>
      <c r="I160" t="str">
        <f t="shared" si="17"/>
        <v>oppose</v>
      </c>
      <c r="J160" t="str">
        <f t="shared" si="18"/>
        <v/>
      </c>
    </row>
    <row r="161" spans="1:10" x14ac:dyDescent="0.2">
      <c r="A161">
        <f>'Hand Coded'!A161</f>
        <v>9707</v>
      </c>
      <c r="B161" t="str" cm="1">
        <f t="array" ref="B161">LOWER(TRIM(INDEX('Hand Coded'!A:G,ROW(),$W$11)))</f>
        <v>support</v>
      </c>
      <c r="C161" t="str" cm="1">
        <f t="array" ref="C161">IFERROR(LOWER(TRIM(INDEX('gemini-3.1-flash-lite-preview'!A:K,MATCH(A161,'gemini-3.1-flash-lite-preview'!A:A,0),$W$12))),"NOT FOUND")</f>
        <v>support</v>
      </c>
      <c r="D161" t="str" cm="1">
        <f t="array" ref="D161">IFERROR(LOWER(TRIM(INDEX('gpt-5.4-mini'!A:K,MATCH(A161,'gpt-5.4-mini'!A:A,0),$W$12))),"NOT FOUND")</f>
        <v>support</v>
      </c>
      <c r="E161" t="str" cm="1">
        <f t="array" ref="E161">IFERROR(LOWER(TRIM(INDEX('claude-sonnet-4-6'!A:K,MATCH(A161,'claude-sonnet-4-6'!A:A,0),$W$12))),"NOT FOUND")</f>
        <v>support</v>
      </c>
      <c r="F161" t="b">
        <f t="shared" si="14"/>
        <v>1</v>
      </c>
      <c r="G161" t="b">
        <f t="shared" si="15"/>
        <v>1</v>
      </c>
      <c r="H161" t="b">
        <f t="shared" si="16"/>
        <v>0</v>
      </c>
      <c r="I161" t="str">
        <f t="shared" si="17"/>
        <v>support</v>
      </c>
      <c r="J161" t="str">
        <f t="shared" si="18"/>
        <v/>
      </c>
    </row>
    <row r="162" spans="1:10" x14ac:dyDescent="0.2">
      <c r="A162">
        <f>'Hand Coded'!A162</f>
        <v>9730</v>
      </c>
      <c r="B162" t="str" cm="1">
        <f t="array" ref="B162">LOWER(TRIM(INDEX('Hand Coded'!A:G,ROW(),$W$11)))</f>
        <v>oppose</v>
      </c>
      <c r="C162" t="str" cm="1">
        <f t="array" ref="C162">IFERROR(LOWER(TRIM(INDEX('gemini-3.1-flash-lite-preview'!A:K,MATCH(A162,'gemini-3.1-flash-lite-preview'!A:A,0),$W$12))),"NOT FOUND")</f>
        <v>oppose</v>
      </c>
      <c r="D162" t="str" cm="1">
        <f t="array" ref="D162">IFERROR(LOWER(TRIM(INDEX('gpt-5.4-mini'!A:K,MATCH(A162,'gpt-5.4-mini'!A:A,0),$W$12))),"NOT FOUND")</f>
        <v>oppose</v>
      </c>
      <c r="E162" t="str" cm="1">
        <f t="array" ref="E162">IFERROR(LOWER(TRIM(INDEX('claude-sonnet-4-6'!A:K,MATCH(A162,'claude-sonnet-4-6'!A:A,0),$W$12))),"NOT FOUND")</f>
        <v>oppose</v>
      </c>
      <c r="F162" t="b">
        <f t="shared" si="14"/>
        <v>1</v>
      </c>
      <c r="G162" t="b">
        <f t="shared" si="15"/>
        <v>1</v>
      </c>
      <c r="H162" t="b">
        <f t="shared" si="16"/>
        <v>0</v>
      </c>
      <c r="I162" t="str">
        <f t="shared" si="17"/>
        <v>oppose</v>
      </c>
      <c r="J162" t="str">
        <f t="shared" si="18"/>
        <v/>
      </c>
    </row>
    <row r="163" spans="1:10" x14ac:dyDescent="0.2">
      <c r="A163">
        <f>'Hand Coded'!A163</f>
        <v>9745</v>
      </c>
      <c r="B163" t="str" cm="1">
        <f t="array" ref="B163">LOWER(TRIM(INDEX('Hand Coded'!A:G,ROW(),$W$11)))</f>
        <v>oppose</v>
      </c>
      <c r="C163" t="str" cm="1">
        <f t="array" ref="C163">IFERROR(LOWER(TRIM(INDEX('gemini-3.1-flash-lite-preview'!A:K,MATCH(A163,'gemini-3.1-flash-lite-preview'!A:A,0),$W$12))),"NOT FOUND")</f>
        <v>oppose</v>
      </c>
      <c r="D163" t="str" cm="1">
        <f t="array" ref="D163">IFERROR(LOWER(TRIM(INDEX('gpt-5.4-mini'!A:K,MATCH(A163,'gpt-5.4-mini'!A:A,0),$W$12))),"NOT FOUND")</f>
        <v>oppose</v>
      </c>
      <c r="E163" t="str" cm="1">
        <f t="array" ref="E163">IFERROR(LOWER(TRIM(INDEX('claude-sonnet-4-6'!A:K,MATCH(A163,'claude-sonnet-4-6'!A:A,0),$W$12))),"NOT FOUND")</f>
        <v>oppose</v>
      </c>
      <c r="F163" t="b">
        <f t="shared" si="14"/>
        <v>1</v>
      </c>
      <c r="G163" t="b">
        <f t="shared" si="15"/>
        <v>1</v>
      </c>
      <c r="H163" t="b">
        <f t="shared" si="16"/>
        <v>0</v>
      </c>
      <c r="I163" t="str">
        <f t="shared" si="17"/>
        <v>oppose</v>
      </c>
      <c r="J163" t="str">
        <f t="shared" si="18"/>
        <v/>
      </c>
    </row>
    <row r="164" spans="1:10" x14ac:dyDescent="0.2">
      <c r="A164">
        <f>'Hand Coded'!A164</f>
        <v>9753</v>
      </c>
      <c r="B164" t="str" cm="1">
        <f t="array" ref="B164">LOWER(TRIM(INDEX('Hand Coded'!A:G,ROW(),$W$11)))</f>
        <v>support with changes</v>
      </c>
      <c r="C164" t="str" cm="1">
        <f t="array" ref="C164">IFERROR(LOWER(TRIM(INDEX('gemini-3.1-flash-lite-preview'!A:K,MATCH(A164,'gemini-3.1-flash-lite-preview'!A:A,0),$W$12))),"NOT FOUND")</f>
        <v>support with changes</v>
      </c>
      <c r="D164" t="str" cm="1">
        <f t="array" ref="D164">IFERROR(LOWER(TRIM(INDEX('gpt-5.4-mini'!A:K,MATCH(A164,'gpt-5.4-mini'!A:A,0),$W$12))),"NOT FOUND")</f>
        <v>support with changes</v>
      </c>
      <c r="E164" t="str" cm="1">
        <f t="array" ref="E164">IFERROR(LOWER(TRIM(INDEX('claude-sonnet-4-6'!A:K,MATCH(A164,'claude-sonnet-4-6'!A:A,0),$W$12))),"NOT FOUND")</f>
        <v>support with changes</v>
      </c>
      <c r="F164" t="b">
        <f t="shared" si="14"/>
        <v>1</v>
      </c>
      <c r="G164" t="b">
        <f t="shared" si="15"/>
        <v>1</v>
      </c>
      <c r="H164" t="b">
        <f t="shared" si="16"/>
        <v>0</v>
      </c>
      <c r="I164" t="str">
        <f t="shared" si="17"/>
        <v>support with changes</v>
      </c>
      <c r="J164" t="str">
        <f t="shared" si="18"/>
        <v/>
      </c>
    </row>
    <row r="165" spans="1:10" x14ac:dyDescent="0.2">
      <c r="A165">
        <f>'Hand Coded'!A165</f>
        <v>9845</v>
      </c>
      <c r="B165" t="str" cm="1">
        <f t="array" ref="B165">LOWER(TRIM(INDEX('Hand Coded'!A:G,ROW(),$W$11)))</f>
        <v>support with changes</v>
      </c>
      <c r="C165" t="str" cm="1">
        <f t="array" ref="C165">IFERROR(LOWER(TRIM(INDEX('gemini-3.1-flash-lite-preview'!A:K,MATCH(A165,'gemini-3.1-flash-lite-preview'!A:A,0),$W$12))),"NOT FOUND")</f>
        <v>support with changes</v>
      </c>
      <c r="D165" t="str" cm="1">
        <f t="array" ref="D165">IFERROR(LOWER(TRIM(INDEX('gpt-5.4-mini'!A:K,MATCH(A165,'gpt-5.4-mini'!A:A,0),$W$12))),"NOT FOUND")</f>
        <v>oppose</v>
      </c>
      <c r="E165" t="str" cm="1">
        <f t="array" ref="E165">IFERROR(LOWER(TRIM(INDEX('claude-sonnet-4-6'!A:K,MATCH(A165,'claude-sonnet-4-6'!A:A,0),$W$12))),"NOT FOUND")</f>
        <v>support with changes</v>
      </c>
      <c r="F165" t="b">
        <f t="shared" si="14"/>
        <v>0</v>
      </c>
      <c r="G165" t="str">
        <f t="shared" si="15"/>
        <v>N/A</v>
      </c>
      <c r="H165" t="b">
        <f t="shared" si="16"/>
        <v>0</v>
      </c>
      <c r="I165" t="str">
        <f t="shared" si="17"/>
        <v>No consensus</v>
      </c>
      <c r="J165" t="str">
        <f t="shared" si="18"/>
        <v/>
      </c>
    </row>
    <row r="166" spans="1:10" x14ac:dyDescent="0.2">
      <c r="A166">
        <f>'Hand Coded'!A166</f>
        <v>9847</v>
      </c>
      <c r="B166" t="str" cm="1">
        <f t="array" ref="B166">LOWER(TRIM(INDEX('Hand Coded'!A:G,ROW(),$W$11)))</f>
        <v>oppose</v>
      </c>
      <c r="C166" t="str" cm="1">
        <f t="array" ref="C166">IFERROR(LOWER(TRIM(INDEX('gemini-3.1-flash-lite-preview'!A:K,MATCH(A166,'gemini-3.1-flash-lite-preview'!A:A,0),$W$12))),"NOT FOUND")</f>
        <v>oppose</v>
      </c>
      <c r="D166" t="str" cm="1">
        <f t="array" ref="D166">IFERROR(LOWER(TRIM(INDEX('gpt-5.4-mini'!A:K,MATCH(A166,'gpt-5.4-mini'!A:A,0),$W$12))),"NOT FOUND")</f>
        <v>oppose</v>
      </c>
      <c r="E166" t="str" cm="1">
        <f t="array" ref="E166">IFERROR(LOWER(TRIM(INDEX('claude-sonnet-4-6'!A:K,MATCH(A166,'claude-sonnet-4-6'!A:A,0),$W$12))),"NOT FOUND")</f>
        <v>oppose</v>
      </c>
      <c r="F166" t="b">
        <f t="shared" si="14"/>
        <v>1</v>
      </c>
      <c r="G166" t="b">
        <f t="shared" si="15"/>
        <v>1</v>
      </c>
      <c r="H166" t="b">
        <f t="shared" si="16"/>
        <v>0</v>
      </c>
      <c r="I166" t="str">
        <f t="shared" si="17"/>
        <v>oppose</v>
      </c>
      <c r="J166" t="str">
        <f t="shared" si="18"/>
        <v/>
      </c>
    </row>
    <row r="167" spans="1:10" x14ac:dyDescent="0.2">
      <c r="A167">
        <f>'Hand Coded'!A167</f>
        <v>9849</v>
      </c>
      <c r="B167" t="str" cm="1">
        <f t="array" ref="B167">LOWER(TRIM(INDEX('Hand Coded'!A:G,ROW(),$W$11)))</f>
        <v>oppose</v>
      </c>
      <c r="C167" t="str" cm="1">
        <f t="array" ref="C167">IFERROR(LOWER(TRIM(INDEX('gemini-3.1-flash-lite-preview'!A:K,MATCH(A167,'gemini-3.1-flash-lite-preview'!A:A,0),$W$12))),"NOT FOUND")</f>
        <v>oppose</v>
      </c>
      <c r="D167" t="str" cm="1">
        <f t="array" ref="D167">IFERROR(LOWER(TRIM(INDEX('gpt-5.4-mini'!A:K,MATCH(A167,'gpt-5.4-mini'!A:A,0),$W$12))),"NOT FOUND")</f>
        <v>oppose</v>
      </c>
      <c r="E167" t="str" cm="1">
        <f t="array" ref="E167">IFERROR(LOWER(TRIM(INDEX('claude-sonnet-4-6'!A:K,MATCH(A167,'claude-sonnet-4-6'!A:A,0),$W$12))),"NOT FOUND")</f>
        <v>oppose</v>
      </c>
      <c r="F167" t="b">
        <f t="shared" si="14"/>
        <v>1</v>
      </c>
      <c r="G167" t="b">
        <f t="shared" si="15"/>
        <v>1</v>
      </c>
      <c r="H167" t="b">
        <f t="shared" si="16"/>
        <v>0</v>
      </c>
      <c r="I167" t="str">
        <f t="shared" si="17"/>
        <v>oppose</v>
      </c>
      <c r="J167" t="str">
        <f t="shared" si="18"/>
        <v/>
      </c>
    </row>
    <row r="168" spans="1:10" x14ac:dyDescent="0.2">
      <c r="A168">
        <f>'Hand Coded'!A168</f>
        <v>9861</v>
      </c>
      <c r="B168" t="str" cm="1">
        <f t="array" ref="B168">LOWER(TRIM(INDEX('Hand Coded'!A:G,ROW(),$W$11)))</f>
        <v>neutral</v>
      </c>
      <c r="C168" t="str" cm="1">
        <f t="array" ref="C168">IFERROR(LOWER(TRIM(INDEX('gemini-3.1-flash-lite-preview'!A:K,MATCH(A168,'gemini-3.1-flash-lite-preview'!A:A,0),$W$12))),"NOT FOUND")</f>
        <v>neutral</v>
      </c>
      <c r="D168" t="str" cm="1">
        <f t="array" ref="D168">IFERROR(LOWER(TRIM(INDEX('gpt-5.4-mini'!A:K,MATCH(A168,'gpt-5.4-mini'!A:A,0),$W$12))),"NOT FOUND")</f>
        <v>neutral</v>
      </c>
      <c r="E168" t="str" cm="1">
        <f t="array" ref="E168">IFERROR(LOWER(TRIM(INDEX('claude-sonnet-4-6'!A:K,MATCH(A168,'claude-sonnet-4-6'!A:A,0),$W$12))),"NOT FOUND")</f>
        <v>support with changes</v>
      </c>
      <c r="F168" t="b">
        <f t="shared" si="14"/>
        <v>0</v>
      </c>
      <c r="G168" t="str">
        <f t="shared" si="15"/>
        <v>N/A</v>
      </c>
      <c r="H168" t="b">
        <f t="shared" si="16"/>
        <v>0</v>
      </c>
      <c r="I168" t="str">
        <f t="shared" si="17"/>
        <v>No consensus</v>
      </c>
      <c r="J168" t="str">
        <f t="shared" si="18"/>
        <v/>
      </c>
    </row>
    <row r="169" spans="1:10" x14ac:dyDescent="0.2">
      <c r="A169">
        <f>'Hand Coded'!A169</f>
        <v>9980</v>
      </c>
      <c r="B169" t="str" cm="1">
        <f t="array" ref="B169">LOWER(TRIM(INDEX('Hand Coded'!A:G,ROW(),$W$11)))</f>
        <v>oppose</v>
      </c>
      <c r="C169" t="str" cm="1">
        <f t="array" ref="C169">IFERROR(LOWER(TRIM(INDEX('gemini-3.1-flash-lite-preview'!A:K,MATCH(A169,'gemini-3.1-flash-lite-preview'!A:A,0),$W$12))),"NOT FOUND")</f>
        <v>oppose</v>
      </c>
      <c r="D169" t="str" cm="1">
        <f t="array" ref="D169">IFERROR(LOWER(TRIM(INDEX('gpt-5.4-mini'!A:K,MATCH(A169,'gpt-5.4-mini'!A:A,0),$W$12))),"NOT FOUND")</f>
        <v>oppose</v>
      </c>
      <c r="E169" t="str" cm="1">
        <f t="array" ref="E169">IFERROR(LOWER(TRIM(INDEX('claude-sonnet-4-6'!A:K,MATCH(A169,'claude-sonnet-4-6'!A:A,0),$W$12))),"NOT FOUND")</f>
        <v>oppose</v>
      </c>
      <c r="F169" t="b">
        <f t="shared" si="14"/>
        <v>1</v>
      </c>
      <c r="G169" t="b">
        <f t="shared" si="15"/>
        <v>1</v>
      </c>
      <c r="H169" t="b">
        <f t="shared" si="16"/>
        <v>0</v>
      </c>
      <c r="I169" t="str">
        <f t="shared" si="17"/>
        <v>oppose</v>
      </c>
      <c r="J169" t="str">
        <f t="shared" si="18"/>
        <v/>
      </c>
    </row>
    <row r="170" spans="1:10" x14ac:dyDescent="0.2">
      <c r="A170">
        <f>'Hand Coded'!A170</f>
        <v>10014</v>
      </c>
      <c r="B170" t="str" cm="1">
        <f t="array" ref="B170">LOWER(TRIM(INDEX('Hand Coded'!A:G,ROW(),$W$11)))</f>
        <v>oppose</v>
      </c>
      <c r="C170" t="str" cm="1">
        <f t="array" ref="C170">IFERROR(LOWER(TRIM(INDEX('gemini-3.1-flash-lite-preview'!A:K,MATCH(A170,'gemini-3.1-flash-lite-preview'!A:A,0),$W$12))),"NOT FOUND")</f>
        <v>oppose</v>
      </c>
      <c r="D170" t="str" cm="1">
        <f t="array" ref="D170">IFERROR(LOWER(TRIM(INDEX('gpt-5.4-mini'!A:K,MATCH(A170,'gpt-5.4-mini'!A:A,0),$W$12))),"NOT FOUND")</f>
        <v>oppose</v>
      </c>
      <c r="E170" t="str" cm="1">
        <f t="array" ref="E170">IFERROR(LOWER(TRIM(INDEX('claude-sonnet-4-6'!A:K,MATCH(A170,'claude-sonnet-4-6'!A:A,0),$W$12))),"NOT FOUND")</f>
        <v>oppose</v>
      </c>
      <c r="F170" t="b">
        <f t="shared" si="14"/>
        <v>1</v>
      </c>
      <c r="G170" t="b">
        <f t="shared" si="15"/>
        <v>1</v>
      </c>
      <c r="H170" t="b">
        <f t="shared" si="16"/>
        <v>0</v>
      </c>
      <c r="I170" t="str">
        <f t="shared" si="17"/>
        <v>oppose</v>
      </c>
      <c r="J170" t="str">
        <f t="shared" si="18"/>
        <v/>
      </c>
    </row>
    <row r="171" spans="1:10" x14ac:dyDescent="0.2">
      <c r="A171">
        <f>'Hand Coded'!A171</f>
        <v>10136</v>
      </c>
      <c r="B171" t="str" cm="1">
        <f t="array" ref="B171">LOWER(TRIM(INDEX('Hand Coded'!A:G,ROW(),$W$11)))</f>
        <v>support with changes</v>
      </c>
      <c r="C171" t="str" cm="1">
        <f t="array" ref="C171">IFERROR(LOWER(TRIM(INDEX('gemini-3.1-flash-lite-preview'!A:K,MATCH(A171,'gemini-3.1-flash-lite-preview'!A:A,0),$W$12))),"NOT FOUND")</f>
        <v>support with changes</v>
      </c>
      <c r="D171" t="str" cm="1">
        <f t="array" ref="D171">IFERROR(LOWER(TRIM(INDEX('gpt-5.4-mini'!A:K,MATCH(A171,'gpt-5.4-mini'!A:A,0),$W$12))),"NOT FOUND")</f>
        <v>support with changes</v>
      </c>
      <c r="E171" t="str" cm="1">
        <f t="array" ref="E171">IFERROR(LOWER(TRIM(INDEX('claude-sonnet-4-6'!A:K,MATCH(A171,'claude-sonnet-4-6'!A:A,0),$W$12))),"NOT FOUND")</f>
        <v>support with changes</v>
      </c>
      <c r="F171" t="b">
        <f t="shared" si="14"/>
        <v>1</v>
      </c>
      <c r="G171" t="b">
        <f t="shared" si="15"/>
        <v>1</v>
      </c>
      <c r="H171" t="b">
        <f t="shared" si="16"/>
        <v>0</v>
      </c>
      <c r="I171" t="str">
        <f t="shared" si="17"/>
        <v>support with changes</v>
      </c>
      <c r="J171" t="str">
        <f t="shared" si="18"/>
        <v/>
      </c>
    </row>
    <row r="172" spans="1:10" x14ac:dyDescent="0.2">
      <c r="A172">
        <f>'Hand Coded'!A172</f>
        <v>10151</v>
      </c>
      <c r="B172" t="str" cm="1">
        <f t="array" ref="B172">LOWER(TRIM(INDEX('Hand Coded'!A:G,ROW(),$W$11)))</f>
        <v>oppose</v>
      </c>
      <c r="C172" t="str" cm="1">
        <f t="array" ref="C172">IFERROR(LOWER(TRIM(INDEX('gemini-3.1-flash-lite-preview'!A:K,MATCH(A172,'gemini-3.1-flash-lite-preview'!A:A,0),$W$12))),"NOT FOUND")</f>
        <v>oppose</v>
      </c>
      <c r="D172" t="str" cm="1">
        <f t="array" ref="D172">IFERROR(LOWER(TRIM(INDEX('gpt-5.4-mini'!A:K,MATCH(A172,'gpt-5.4-mini'!A:A,0),$W$12))),"NOT FOUND")</f>
        <v>oppose</v>
      </c>
      <c r="E172" t="str" cm="1">
        <f t="array" ref="E172">IFERROR(LOWER(TRIM(INDEX('claude-sonnet-4-6'!A:K,MATCH(A172,'claude-sonnet-4-6'!A:A,0),$W$12))),"NOT FOUND")</f>
        <v>oppose</v>
      </c>
      <c r="F172" t="b">
        <f t="shared" si="14"/>
        <v>1</v>
      </c>
      <c r="G172" t="b">
        <f t="shared" si="15"/>
        <v>1</v>
      </c>
      <c r="H172" t="b">
        <f t="shared" si="16"/>
        <v>0</v>
      </c>
      <c r="I172" t="str">
        <f t="shared" si="17"/>
        <v>oppose</v>
      </c>
      <c r="J172" t="str">
        <f t="shared" si="18"/>
        <v/>
      </c>
    </row>
    <row r="173" spans="1:10" x14ac:dyDescent="0.2">
      <c r="A173">
        <f>'Hand Coded'!A173</f>
        <v>10164</v>
      </c>
      <c r="B173" t="str" cm="1">
        <f t="array" ref="B173">LOWER(TRIM(INDEX('Hand Coded'!A:G,ROW(),$W$11)))</f>
        <v>oppose</v>
      </c>
      <c r="C173" t="str" cm="1">
        <f t="array" ref="C173">IFERROR(LOWER(TRIM(INDEX('gemini-3.1-flash-lite-preview'!A:K,MATCH(A173,'gemini-3.1-flash-lite-preview'!A:A,0),$W$12))),"NOT FOUND")</f>
        <v>oppose</v>
      </c>
      <c r="D173" t="str" cm="1">
        <f t="array" ref="D173">IFERROR(LOWER(TRIM(INDEX('gpt-5.4-mini'!A:K,MATCH(A173,'gpt-5.4-mini'!A:A,0),$W$12))),"NOT FOUND")</f>
        <v>oppose</v>
      </c>
      <c r="E173" t="str" cm="1">
        <f t="array" ref="E173">IFERROR(LOWER(TRIM(INDEX('claude-sonnet-4-6'!A:K,MATCH(A173,'claude-sonnet-4-6'!A:A,0),$W$12))),"NOT FOUND")</f>
        <v>oppose</v>
      </c>
      <c r="F173" t="b">
        <f t="shared" si="14"/>
        <v>1</v>
      </c>
      <c r="G173" t="b">
        <f t="shared" si="15"/>
        <v>1</v>
      </c>
      <c r="H173" t="b">
        <f t="shared" si="16"/>
        <v>0</v>
      </c>
      <c r="I173" t="str">
        <f t="shared" si="17"/>
        <v>oppose</v>
      </c>
      <c r="J173" t="str">
        <f t="shared" si="18"/>
        <v/>
      </c>
    </row>
    <row r="174" spans="1:10" x14ac:dyDescent="0.2">
      <c r="A174">
        <f>'Hand Coded'!A174</f>
        <v>10166</v>
      </c>
      <c r="B174" t="str" cm="1">
        <f t="array" ref="B174">LOWER(TRIM(INDEX('Hand Coded'!A:G,ROW(),$W$11)))</f>
        <v>oppose</v>
      </c>
      <c r="C174" t="str" cm="1">
        <f t="array" ref="C174">IFERROR(LOWER(TRIM(INDEX('gemini-3.1-flash-lite-preview'!A:K,MATCH(A174,'gemini-3.1-flash-lite-preview'!A:A,0),$W$12))),"NOT FOUND")</f>
        <v>oppose</v>
      </c>
      <c r="D174" t="str" cm="1">
        <f t="array" ref="D174">IFERROR(LOWER(TRIM(INDEX('gpt-5.4-mini'!A:K,MATCH(A174,'gpt-5.4-mini'!A:A,0),$W$12))),"NOT FOUND")</f>
        <v>oppose</v>
      </c>
      <c r="E174" t="str" cm="1">
        <f t="array" ref="E174">IFERROR(LOWER(TRIM(INDEX('claude-sonnet-4-6'!A:K,MATCH(A174,'claude-sonnet-4-6'!A:A,0),$W$12))),"NOT FOUND")</f>
        <v>oppose</v>
      </c>
      <c r="F174" t="b">
        <f t="shared" si="14"/>
        <v>1</v>
      </c>
      <c r="G174" t="b">
        <f t="shared" si="15"/>
        <v>1</v>
      </c>
      <c r="H174" t="b">
        <f t="shared" si="16"/>
        <v>0</v>
      </c>
      <c r="I174" t="str">
        <f t="shared" si="17"/>
        <v>oppose</v>
      </c>
      <c r="J174" t="str">
        <f t="shared" si="18"/>
        <v/>
      </c>
    </row>
    <row r="175" spans="1:10" x14ac:dyDescent="0.2">
      <c r="A175">
        <f>'Hand Coded'!A175</f>
        <v>10174</v>
      </c>
      <c r="B175" t="str" cm="1">
        <f t="array" ref="B175">LOWER(TRIM(INDEX('Hand Coded'!A:G,ROW(),$W$11)))</f>
        <v>oppose</v>
      </c>
      <c r="C175" t="str" cm="1">
        <f t="array" ref="C175">IFERROR(LOWER(TRIM(INDEX('gemini-3.1-flash-lite-preview'!A:K,MATCH(A175,'gemini-3.1-flash-lite-preview'!A:A,0),$W$12))),"NOT FOUND")</f>
        <v>oppose</v>
      </c>
      <c r="D175" t="str" cm="1">
        <f t="array" ref="D175">IFERROR(LOWER(TRIM(INDEX('gpt-5.4-mini'!A:K,MATCH(A175,'gpt-5.4-mini'!A:A,0),$W$12))),"NOT FOUND")</f>
        <v>oppose</v>
      </c>
      <c r="E175" t="str" cm="1">
        <f t="array" ref="E175">IFERROR(LOWER(TRIM(INDEX('claude-sonnet-4-6'!A:K,MATCH(A175,'claude-sonnet-4-6'!A:A,0),$W$12))),"NOT FOUND")</f>
        <v>oppose</v>
      </c>
      <c r="F175" t="b">
        <f t="shared" si="14"/>
        <v>1</v>
      </c>
      <c r="G175" t="b">
        <f t="shared" si="15"/>
        <v>1</v>
      </c>
      <c r="H175" t="b">
        <f t="shared" si="16"/>
        <v>0</v>
      </c>
      <c r="I175" t="str">
        <f t="shared" si="17"/>
        <v>oppose</v>
      </c>
      <c r="J175" t="str">
        <f t="shared" si="18"/>
        <v/>
      </c>
    </row>
    <row r="176" spans="1:10" x14ac:dyDescent="0.2">
      <c r="A176">
        <f>'Hand Coded'!A176</f>
        <v>10177</v>
      </c>
      <c r="B176" t="str" cm="1">
        <f t="array" ref="B176">LOWER(TRIM(INDEX('Hand Coded'!A:G,ROW(),$W$11)))</f>
        <v>oppose</v>
      </c>
      <c r="C176" t="str" cm="1">
        <f t="array" ref="C176">IFERROR(LOWER(TRIM(INDEX('gemini-3.1-flash-lite-preview'!A:K,MATCH(A176,'gemini-3.1-flash-lite-preview'!A:A,0),$W$12))),"NOT FOUND")</f>
        <v>oppose</v>
      </c>
      <c r="D176" t="str" cm="1">
        <f t="array" ref="D176">IFERROR(LOWER(TRIM(INDEX('gpt-5.4-mini'!A:K,MATCH(A176,'gpt-5.4-mini'!A:A,0),$W$12))),"NOT FOUND")</f>
        <v>oppose</v>
      </c>
      <c r="E176" t="str" cm="1">
        <f t="array" ref="E176">IFERROR(LOWER(TRIM(INDEX('claude-sonnet-4-6'!A:K,MATCH(A176,'claude-sonnet-4-6'!A:A,0),$W$12))),"NOT FOUND")</f>
        <v>oppose</v>
      </c>
      <c r="F176" t="b">
        <f t="shared" si="14"/>
        <v>1</v>
      </c>
      <c r="G176" t="b">
        <f t="shared" si="15"/>
        <v>1</v>
      </c>
      <c r="H176" t="b">
        <f t="shared" si="16"/>
        <v>0</v>
      </c>
      <c r="I176" t="str">
        <f t="shared" si="17"/>
        <v>oppose</v>
      </c>
      <c r="J176" t="str">
        <f t="shared" si="18"/>
        <v/>
      </c>
    </row>
    <row r="177" spans="1:10" x14ac:dyDescent="0.2">
      <c r="A177">
        <f>'Hand Coded'!A177</f>
        <v>10179</v>
      </c>
      <c r="B177" t="str" cm="1">
        <f t="array" ref="B177">LOWER(TRIM(INDEX('Hand Coded'!A:G,ROW(),$W$11)))</f>
        <v>oppose</v>
      </c>
      <c r="C177" t="str" cm="1">
        <f t="array" ref="C177">IFERROR(LOWER(TRIM(INDEX('gemini-3.1-flash-lite-preview'!A:K,MATCH(A177,'gemini-3.1-flash-lite-preview'!A:A,0),$W$12))),"NOT FOUND")</f>
        <v>oppose</v>
      </c>
      <c r="D177" t="str" cm="1">
        <f t="array" ref="D177">IFERROR(LOWER(TRIM(INDEX('gpt-5.4-mini'!A:K,MATCH(A177,'gpt-5.4-mini'!A:A,0),$W$12))),"NOT FOUND")</f>
        <v>oppose</v>
      </c>
      <c r="E177" t="str" cm="1">
        <f t="array" ref="E177">IFERROR(LOWER(TRIM(INDEX('claude-sonnet-4-6'!A:K,MATCH(A177,'claude-sonnet-4-6'!A:A,0),$W$12))),"NOT FOUND")</f>
        <v>oppose</v>
      </c>
      <c r="F177" t="b">
        <f t="shared" si="14"/>
        <v>1</v>
      </c>
      <c r="G177" t="b">
        <f t="shared" si="15"/>
        <v>1</v>
      </c>
      <c r="H177" t="b">
        <f t="shared" si="16"/>
        <v>0</v>
      </c>
      <c r="I177" t="str">
        <f t="shared" si="17"/>
        <v>oppose</v>
      </c>
      <c r="J177" t="str">
        <f t="shared" si="18"/>
        <v/>
      </c>
    </row>
    <row r="178" spans="1:10" x14ac:dyDescent="0.2">
      <c r="A178">
        <f>'Hand Coded'!A178</f>
        <v>10180</v>
      </c>
      <c r="B178" t="str" cm="1">
        <f t="array" ref="B178">LOWER(TRIM(INDEX('Hand Coded'!A:G,ROW(),$W$11)))</f>
        <v>oppose</v>
      </c>
      <c r="C178" t="str" cm="1">
        <f t="array" ref="C178">IFERROR(LOWER(TRIM(INDEX('gemini-3.1-flash-lite-preview'!A:K,MATCH(A178,'gemini-3.1-flash-lite-preview'!A:A,0),$W$12))),"NOT FOUND")</f>
        <v>oppose</v>
      </c>
      <c r="D178" t="str" cm="1">
        <f t="array" ref="D178">IFERROR(LOWER(TRIM(INDEX('gpt-5.4-mini'!A:K,MATCH(A178,'gpt-5.4-mini'!A:A,0),$W$12))),"NOT FOUND")</f>
        <v>oppose</v>
      </c>
      <c r="E178" t="str" cm="1">
        <f t="array" ref="E178">IFERROR(LOWER(TRIM(INDEX('claude-sonnet-4-6'!A:K,MATCH(A178,'claude-sonnet-4-6'!A:A,0),$W$12))),"NOT FOUND")</f>
        <v>oppose</v>
      </c>
      <c r="F178" t="b">
        <f t="shared" si="14"/>
        <v>1</v>
      </c>
      <c r="G178" t="b">
        <f t="shared" si="15"/>
        <v>1</v>
      </c>
      <c r="H178" t="b">
        <f t="shared" si="16"/>
        <v>0</v>
      </c>
      <c r="I178" t="str">
        <f t="shared" si="17"/>
        <v>oppose</v>
      </c>
      <c r="J178" t="str">
        <f t="shared" si="18"/>
        <v/>
      </c>
    </row>
    <row r="179" spans="1:10" x14ac:dyDescent="0.2">
      <c r="A179">
        <f>'Hand Coded'!A179</f>
        <v>10181</v>
      </c>
      <c r="B179" t="str" cm="1">
        <f t="array" ref="B179">LOWER(TRIM(INDEX('Hand Coded'!A:G,ROW(),$W$11)))</f>
        <v>oppose</v>
      </c>
      <c r="C179" t="str" cm="1">
        <f t="array" ref="C179">IFERROR(LOWER(TRIM(INDEX('gemini-3.1-flash-lite-preview'!A:K,MATCH(A179,'gemini-3.1-flash-lite-preview'!A:A,0),$W$12))),"NOT FOUND")</f>
        <v>oppose</v>
      </c>
      <c r="D179" t="str" cm="1">
        <f t="array" ref="D179">IFERROR(LOWER(TRIM(INDEX('gpt-5.4-mini'!A:K,MATCH(A179,'gpt-5.4-mini'!A:A,0),$W$12))),"NOT FOUND")</f>
        <v>oppose</v>
      </c>
      <c r="E179" t="str" cm="1">
        <f t="array" ref="E179">IFERROR(LOWER(TRIM(INDEX('claude-sonnet-4-6'!A:K,MATCH(A179,'claude-sonnet-4-6'!A:A,0),$W$12))),"NOT FOUND")</f>
        <v>oppose</v>
      </c>
      <c r="F179" t="b">
        <f t="shared" si="14"/>
        <v>1</v>
      </c>
      <c r="G179" t="b">
        <f t="shared" si="15"/>
        <v>1</v>
      </c>
      <c r="H179" t="b">
        <f t="shared" si="16"/>
        <v>0</v>
      </c>
      <c r="I179" t="str">
        <f t="shared" si="17"/>
        <v>oppose</v>
      </c>
      <c r="J179" t="str">
        <f t="shared" si="18"/>
        <v/>
      </c>
    </row>
    <row r="180" spans="1:10" x14ac:dyDescent="0.2">
      <c r="A180">
        <f>'Hand Coded'!A180</f>
        <v>10238</v>
      </c>
      <c r="B180" t="str" cm="1">
        <f t="array" ref="B180">LOWER(TRIM(INDEX('Hand Coded'!A:G,ROW(),$W$11)))</f>
        <v>support</v>
      </c>
      <c r="C180" t="str" cm="1">
        <f t="array" ref="C180">IFERROR(LOWER(TRIM(INDEX('gemini-3.1-flash-lite-preview'!A:K,MATCH(A180,'gemini-3.1-flash-lite-preview'!A:A,0),$W$12))),"NOT FOUND")</f>
        <v>support</v>
      </c>
      <c r="D180" t="str" cm="1">
        <f t="array" ref="D180">IFERROR(LOWER(TRIM(INDEX('gpt-5.4-mini'!A:K,MATCH(A180,'gpt-5.4-mini'!A:A,0),$W$12))),"NOT FOUND")</f>
        <v>support</v>
      </c>
      <c r="E180" t="str" cm="1">
        <f t="array" ref="E180">IFERROR(LOWER(TRIM(INDEX('claude-sonnet-4-6'!A:K,MATCH(A180,'claude-sonnet-4-6'!A:A,0),$W$12))),"NOT FOUND")</f>
        <v>support</v>
      </c>
      <c r="F180" t="b">
        <f t="shared" si="14"/>
        <v>1</v>
      </c>
      <c r="G180" t="b">
        <f t="shared" si="15"/>
        <v>1</v>
      </c>
      <c r="H180" t="b">
        <f t="shared" si="16"/>
        <v>0</v>
      </c>
      <c r="I180" t="str">
        <f t="shared" si="17"/>
        <v>support</v>
      </c>
      <c r="J180" t="str">
        <f t="shared" si="18"/>
        <v/>
      </c>
    </row>
    <row r="181" spans="1:10" x14ac:dyDescent="0.2">
      <c r="A181">
        <f>'Hand Coded'!A181</f>
        <v>10239</v>
      </c>
      <c r="B181" t="str" cm="1">
        <f t="array" ref="B181">LOWER(TRIM(INDEX('Hand Coded'!A:G,ROW(),$W$11)))</f>
        <v>support</v>
      </c>
      <c r="C181" t="str" cm="1">
        <f t="array" ref="C181">IFERROR(LOWER(TRIM(INDEX('gemini-3.1-flash-lite-preview'!A:K,MATCH(A181,'gemini-3.1-flash-lite-preview'!A:A,0),$W$12))),"NOT FOUND")</f>
        <v>support</v>
      </c>
      <c r="D181" t="str" cm="1">
        <f t="array" ref="D181">IFERROR(LOWER(TRIM(INDEX('gpt-5.4-mini'!A:K,MATCH(A181,'gpt-5.4-mini'!A:A,0),$W$12))),"NOT FOUND")</f>
        <v>support</v>
      </c>
      <c r="E181" t="str" cm="1">
        <f t="array" ref="E181">IFERROR(LOWER(TRIM(INDEX('claude-sonnet-4-6'!A:K,MATCH(A181,'claude-sonnet-4-6'!A:A,0),$W$12))),"NOT FOUND")</f>
        <v>support</v>
      </c>
      <c r="F181" t="b">
        <f t="shared" si="14"/>
        <v>1</v>
      </c>
      <c r="G181" t="b">
        <f t="shared" si="15"/>
        <v>1</v>
      </c>
      <c r="H181" t="b">
        <f t="shared" si="16"/>
        <v>0</v>
      </c>
      <c r="I181" t="str">
        <f t="shared" si="17"/>
        <v>support</v>
      </c>
      <c r="J181" t="str">
        <f t="shared" si="18"/>
        <v/>
      </c>
    </row>
    <row r="182" spans="1:10" x14ac:dyDescent="0.2">
      <c r="A182">
        <f>'Hand Coded'!A182</f>
        <v>5178</v>
      </c>
      <c r="B182" t="str" cm="1">
        <f t="array" ref="B182">LOWER(TRIM(INDEX('Hand Coded'!A:G,ROW(),$W$11)))</f>
        <v>oppose</v>
      </c>
      <c r="C182" t="str" cm="1">
        <f t="array" ref="C182">IFERROR(LOWER(TRIM(INDEX('gemini-3.1-flash-lite-preview'!A:K,MATCH(A182,'gemini-3.1-flash-lite-preview'!A:A,0),$W$12))),"NOT FOUND")</f>
        <v>support with changes</v>
      </c>
      <c r="D182" t="str" cm="1">
        <f t="array" ref="D182">IFERROR(LOWER(TRIM(INDEX('gpt-5.4-mini'!A:K,MATCH(A182,'gpt-5.4-mini'!A:A,0),$W$12))),"NOT FOUND")</f>
        <v>oppose</v>
      </c>
      <c r="E182" t="str" cm="1">
        <f t="array" ref="E182">IFERROR(LOWER(TRIM(INDEX('claude-sonnet-4-6'!A:K,MATCH(A182,'claude-sonnet-4-6'!A:A,0),$W$12))),"NOT FOUND")</f>
        <v>support with changes</v>
      </c>
      <c r="F182" t="b">
        <f t="shared" si="14"/>
        <v>0</v>
      </c>
      <c r="G182" t="str">
        <f t="shared" si="15"/>
        <v>N/A</v>
      </c>
      <c r="H182" t="b">
        <f t="shared" si="16"/>
        <v>0</v>
      </c>
      <c r="I182" t="str">
        <f t="shared" si="17"/>
        <v>No consensus</v>
      </c>
      <c r="J182" t="str">
        <f t="shared" si="18"/>
        <v/>
      </c>
    </row>
    <row r="183" spans="1:10" x14ac:dyDescent="0.2">
      <c r="A183">
        <f>'Hand Coded'!A183</f>
        <v>5185</v>
      </c>
      <c r="B183" t="str" cm="1">
        <f t="array" ref="B183">LOWER(TRIM(INDEX('Hand Coded'!A:G,ROW(),$W$11)))</f>
        <v>oppose</v>
      </c>
      <c r="C183" t="str" cm="1">
        <f t="array" ref="C183">IFERROR(LOWER(TRIM(INDEX('gemini-3.1-flash-lite-preview'!A:K,MATCH(A183,'gemini-3.1-flash-lite-preview'!A:A,0),$W$12))),"NOT FOUND")</f>
        <v>oppose</v>
      </c>
      <c r="D183" t="str" cm="1">
        <f t="array" ref="D183">IFERROR(LOWER(TRIM(INDEX('gpt-5.4-mini'!A:K,MATCH(A183,'gpt-5.4-mini'!A:A,0),$W$12))),"NOT FOUND")</f>
        <v>oppose</v>
      </c>
      <c r="E183" t="str" cm="1">
        <f t="array" ref="E183">IFERROR(LOWER(TRIM(INDEX('claude-sonnet-4-6'!A:K,MATCH(A183,'claude-sonnet-4-6'!A:A,0),$W$12))),"NOT FOUND")</f>
        <v>oppose</v>
      </c>
      <c r="F183" t="b">
        <f t="shared" si="14"/>
        <v>1</v>
      </c>
      <c r="G183" t="b">
        <f t="shared" si="15"/>
        <v>1</v>
      </c>
      <c r="H183" t="b">
        <f t="shared" si="16"/>
        <v>0</v>
      </c>
      <c r="I183" t="str">
        <f t="shared" si="17"/>
        <v>oppose</v>
      </c>
      <c r="J183" t="str">
        <f t="shared" si="18"/>
        <v/>
      </c>
    </row>
    <row r="184" spans="1:10" x14ac:dyDescent="0.2">
      <c r="A184">
        <f>'Hand Coded'!A184</f>
        <v>5264</v>
      </c>
      <c r="B184" t="str" cm="1">
        <f t="array" ref="B184">LOWER(TRIM(INDEX('Hand Coded'!A:G,ROW(),$W$11)))</f>
        <v>support with changes</v>
      </c>
      <c r="C184" t="str" cm="1">
        <f t="array" ref="C184">IFERROR(LOWER(TRIM(INDEX('gemini-3.1-flash-lite-preview'!A:K,MATCH(A184,'gemini-3.1-flash-lite-preview'!A:A,0),$W$12))),"NOT FOUND")</f>
        <v>support with changes</v>
      </c>
      <c r="D184" t="str" cm="1">
        <f t="array" ref="D184">IFERROR(LOWER(TRIM(INDEX('gpt-5.4-mini'!A:K,MATCH(A184,'gpt-5.4-mini'!A:A,0),$W$12))),"NOT FOUND")</f>
        <v>support with changes</v>
      </c>
      <c r="E184" t="str" cm="1">
        <f t="array" ref="E184">IFERROR(LOWER(TRIM(INDEX('claude-sonnet-4-6'!A:K,MATCH(A184,'claude-sonnet-4-6'!A:A,0),$W$12))),"NOT FOUND")</f>
        <v>support with changes</v>
      </c>
      <c r="F184" t="b">
        <f t="shared" si="14"/>
        <v>1</v>
      </c>
      <c r="G184" t="b">
        <f t="shared" si="15"/>
        <v>1</v>
      </c>
      <c r="H184" t="b">
        <f t="shared" si="16"/>
        <v>0</v>
      </c>
      <c r="I184" t="str">
        <f t="shared" si="17"/>
        <v>support with changes</v>
      </c>
      <c r="J184" t="str">
        <f t="shared" si="18"/>
        <v/>
      </c>
    </row>
    <row r="185" spans="1:10" x14ac:dyDescent="0.2">
      <c r="A185">
        <f>'Hand Coded'!A185</f>
        <v>5265</v>
      </c>
      <c r="B185" t="str" cm="1">
        <f t="array" ref="B185">LOWER(TRIM(INDEX('Hand Coded'!A:G,ROW(),$W$11)))</f>
        <v>support with changes</v>
      </c>
      <c r="C185" t="str" cm="1">
        <f t="array" ref="C185">IFERROR(LOWER(TRIM(INDEX('gemini-3.1-flash-lite-preview'!A:K,MATCH(A185,'gemini-3.1-flash-lite-preview'!A:A,0),$W$12))),"NOT FOUND")</f>
        <v>support with changes</v>
      </c>
      <c r="D185" t="str" cm="1">
        <f t="array" ref="D185">IFERROR(LOWER(TRIM(INDEX('gpt-5.4-mini'!A:K,MATCH(A185,'gpt-5.4-mini'!A:A,0),$W$12))),"NOT FOUND")</f>
        <v>support with changes</v>
      </c>
      <c r="E185" t="str" cm="1">
        <f t="array" ref="E185">IFERROR(LOWER(TRIM(INDEX('claude-sonnet-4-6'!A:K,MATCH(A185,'claude-sonnet-4-6'!A:A,0),$W$12))),"NOT FOUND")</f>
        <v>support with changes</v>
      </c>
      <c r="F185" t="b">
        <f t="shared" si="14"/>
        <v>1</v>
      </c>
      <c r="G185" t="b">
        <f t="shared" si="15"/>
        <v>1</v>
      </c>
      <c r="H185" t="b">
        <f t="shared" si="16"/>
        <v>0</v>
      </c>
      <c r="I185" t="str">
        <f t="shared" si="17"/>
        <v>support with changes</v>
      </c>
      <c r="J185" t="str">
        <f t="shared" si="18"/>
        <v/>
      </c>
    </row>
    <row r="186" spans="1:10" x14ac:dyDescent="0.2">
      <c r="A186">
        <f>'Hand Coded'!A186</f>
        <v>5300</v>
      </c>
      <c r="B186" t="str" cm="1">
        <f t="array" ref="B186">LOWER(TRIM(INDEX('Hand Coded'!A:G,ROW(),$W$11)))</f>
        <v>oppose</v>
      </c>
      <c r="C186" t="str" cm="1">
        <f t="array" ref="C186">IFERROR(LOWER(TRIM(INDEX('gemini-3.1-flash-lite-preview'!A:K,MATCH(A186,'gemini-3.1-flash-lite-preview'!A:A,0),$W$12))),"NOT FOUND")</f>
        <v>oppose</v>
      </c>
      <c r="D186" t="str" cm="1">
        <f t="array" ref="D186">IFERROR(LOWER(TRIM(INDEX('gpt-5.4-mini'!A:K,MATCH(A186,'gpt-5.4-mini'!A:A,0),$W$12))),"NOT FOUND")</f>
        <v>oppose</v>
      </c>
      <c r="E186" t="str" cm="1">
        <f t="array" ref="E186">IFERROR(LOWER(TRIM(INDEX('claude-sonnet-4-6'!A:K,MATCH(A186,'claude-sonnet-4-6'!A:A,0),$W$12))),"NOT FOUND")</f>
        <v>oppose</v>
      </c>
      <c r="F186" t="b">
        <f t="shared" si="14"/>
        <v>1</v>
      </c>
      <c r="G186" t="b">
        <f t="shared" si="15"/>
        <v>1</v>
      </c>
      <c r="H186" t="b">
        <f t="shared" si="16"/>
        <v>0</v>
      </c>
      <c r="I186" t="str">
        <f t="shared" si="17"/>
        <v>oppose</v>
      </c>
      <c r="J186" t="str">
        <f t="shared" si="18"/>
        <v/>
      </c>
    </row>
    <row r="187" spans="1:10" x14ac:dyDescent="0.2">
      <c r="A187">
        <f>'Hand Coded'!A187</f>
        <v>5312</v>
      </c>
      <c r="B187" t="str" cm="1">
        <f t="array" ref="B187">LOWER(TRIM(INDEX('Hand Coded'!A:G,ROW(),$W$11)))</f>
        <v>oppose</v>
      </c>
      <c r="C187" t="str" cm="1">
        <f t="array" ref="C187">IFERROR(LOWER(TRIM(INDEX('gemini-3.1-flash-lite-preview'!A:K,MATCH(A187,'gemini-3.1-flash-lite-preview'!A:A,0),$W$12))),"NOT FOUND")</f>
        <v>oppose</v>
      </c>
      <c r="D187" t="str" cm="1">
        <f t="array" ref="D187">IFERROR(LOWER(TRIM(INDEX('gpt-5.4-mini'!A:K,MATCH(A187,'gpt-5.4-mini'!A:A,0),$W$12))),"NOT FOUND")</f>
        <v>oppose</v>
      </c>
      <c r="E187" t="str" cm="1">
        <f t="array" ref="E187">IFERROR(LOWER(TRIM(INDEX('claude-sonnet-4-6'!A:K,MATCH(A187,'claude-sonnet-4-6'!A:A,0),$W$12))),"NOT FOUND")</f>
        <v>oppose</v>
      </c>
      <c r="F187" t="b">
        <f t="shared" si="14"/>
        <v>1</v>
      </c>
      <c r="G187" t="b">
        <f t="shared" si="15"/>
        <v>1</v>
      </c>
      <c r="H187" t="b">
        <f t="shared" si="16"/>
        <v>0</v>
      </c>
      <c r="I187" t="str">
        <f t="shared" si="17"/>
        <v>oppose</v>
      </c>
      <c r="J187" t="str">
        <f t="shared" si="18"/>
        <v/>
      </c>
    </row>
    <row r="188" spans="1:10" x14ac:dyDescent="0.2">
      <c r="A188">
        <f>'Hand Coded'!A188</f>
        <v>5331</v>
      </c>
      <c r="B188" t="str" cm="1">
        <f t="array" ref="B188">LOWER(TRIM(INDEX('Hand Coded'!A:G,ROW(),$W$11)))</f>
        <v>oppose</v>
      </c>
      <c r="C188" t="str" cm="1">
        <f t="array" ref="C188">IFERROR(LOWER(TRIM(INDEX('gemini-3.1-flash-lite-preview'!A:K,MATCH(A188,'gemini-3.1-flash-lite-preview'!A:A,0),$W$12))),"NOT FOUND")</f>
        <v>neutral</v>
      </c>
      <c r="D188" t="str" cm="1">
        <f t="array" ref="D188">IFERROR(LOWER(TRIM(INDEX('gpt-5.4-mini'!A:K,MATCH(A188,'gpt-5.4-mini'!A:A,0),$W$12))),"NOT FOUND")</f>
        <v>neutral</v>
      </c>
      <c r="E188" t="str" cm="1">
        <f t="array" ref="E188">IFERROR(LOWER(TRIM(INDEX('claude-sonnet-4-6'!A:K,MATCH(A188,'claude-sonnet-4-6'!A:A,0),$W$12))),"NOT FOUND")</f>
        <v>oppose</v>
      </c>
      <c r="F188" t="b">
        <f t="shared" si="14"/>
        <v>0</v>
      </c>
      <c r="G188" t="str">
        <f t="shared" si="15"/>
        <v>N/A</v>
      </c>
      <c r="H188" t="b">
        <f t="shared" si="16"/>
        <v>0</v>
      </c>
      <c r="I188" t="str">
        <f t="shared" si="17"/>
        <v>No consensus</v>
      </c>
      <c r="J188" t="str">
        <f t="shared" si="18"/>
        <v/>
      </c>
    </row>
    <row r="189" spans="1:10" x14ac:dyDescent="0.2">
      <c r="A189">
        <f>'Hand Coded'!A189</f>
        <v>5338</v>
      </c>
      <c r="B189" t="str" cm="1">
        <f t="array" ref="B189">LOWER(TRIM(INDEX('Hand Coded'!A:G,ROW(),$W$11)))</f>
        <v>support</v>
      </c>
      <c r="C189" t="str" cm="1">
        <f t="array" ref="C189">IFERROR(LOWER(TRIM(INDEX('gemini-3.1-flash-lite-preview'!A:K,MATCH(A189,'gemini-3.1-flash-lite-preview'!A:A,0),$W$12))),"NOT FOUND")</f>
        <v>support</v>
      </c>
      <c r="D189" t="str" cm="1">
        <f t="array" ref="D189">IFERROR(LOWER(TRIM(INDEX('gpt-5.4-mini'!A:K,MATCH(A189,'gpt-5.4-mini'!A:A,0),$W$12))),"NOT FOUND")</f>
        <v>support</v>
      </c>
      <c r="E189" t="str" cm="1">
        <f t="array" ref="E189">IFERROR(LOWER(TRIM(INDEX('claude-sonnet-4-6'!A:K,MATCH(A189,'claude-sonnet-4-6'!A:A,0),$W$12))),"NOT FOUND")</f>
        <v>support</v>
      </c>
      <c r="F189" t="b">
        <f t="shared" si="14"/>
        <v>1</v>
      </c>
      <c r="G189" t="b">
        <f t="shared" si="15"/>
        <v>1</v>
      </c>
      <c r="H189" t="b">
        <f t="shared" si="16"/>
        <v>0</v>
      </c>
      <c r="I189" t="str">
        <f t="shared" si="17"/>
        <v>support</v>
      </c>
      <c r="J189" t="str">
        <f t="shared" si="18"/>
        <v/>
      </c>
    </row>
    <row r="190" spans="1:10" x14ac:dyDescent="0.2">
      <c r="A190">
        <f>'Hand Coded'!A190</f>
        <v>5344</v>
      </c>
      <c r="B190" t="str" cm="1">
        <f t="array" ref="B190">LOWER(TRIM(INDEX('Hand Coded'!A:G,ROW(),$W$11)))</f>
        <v>oppose</v>
      </c>
      <c r="C190" t="str" cm="1">
        <f t="array" ref="C190">IFERROR(LOWER(TRIM(INDEX('gemini-3.1-flash-lite-preview'!A:K,MATCH(A190,'gemini-3.1-flash-lite-preview'!A:A,0),$W$12))),"NOT FOUND")</f>
        <v>oppose</v>
      </c>
      <c r="D190" t="str" cm="1">
        <f t="array" ref="D190">IFERROR(LOWER(TRIM(INDEX('gpt-5.4-mini'!A:K,MATCH(A190,'gpt-5.4-mini'!A:A,0),$W$12))),"NOT FOUND")</f>
        <v>oppose</v>
      </c>
      <c r="E190" t="str" cm="1">
        <f t="array" ref="E190">IFERROR(LOWER(TRIM(INDEX('claude-sonnet-4-6'!A:K,MATCH(A190,'claude-sonnet-4-6'!A:A,0),$W$12))),"NOT FOUND")</f>
        <v>oppose</v>
      </c>
      <c r="F190" t="b">
        <f t="shared" si="14"/>
        <v>1</v>
      </c>
      <c r="G190" t="b">
        <f t="shared" si="15"/>
        <v>1</v>
      </c>
      <c r="H190" t="b">
        <f t="shared" si="16"/>
        <v>0</v>
      </c>
      <c r="I190" t="str">
        <f t="shared" si="17"/>
        <v>oppose</v>
      </c>
      <c r="J190" t="str">
        <f t="shared" si="18"/>
        <v/>
      </c>
    </row>
    <row r="191" spans="1:10" x14ac:dyDescent="0.2">
      <c r="A191">
        <f>'Hand Coded'!A191</f>
        <v>5371</v>
      </c>
      <c r="B191" t="str" cm="1">
        <f t="array" ref="B191">LOWER(TRIM(INDEX('Hand Coded'!A:G,ROW(),$W$11)))</f>
        <v>oppose</v>
      </c>
      <c r="C191" t="str" cm="1">
        <f t="array" ref="C191">IFERROR(LOWER(TRIM(INDEX('gemini-3.1-flash-lite-preview'!A:K,MATCH(A191,'gemini-3.1-flash-lite-preview'!A:A,0),$W$12))),"NOT FOUND")</f>
        <v>oppose</v>
      </c>
      <c r="D191" t="str" cm="1">
        <f t="array" ref="D191">IFERROR(LOWER(TRIM(INDEX('gpt-5.4-mini'!A:K,MATCH(A191,'gpt-5.4-mini'!A:A,0),$W$12))),"NOT FOUND")</f>
        <v>oppose</v>
      </c>
      <c r="E191" t="str" cm="1">
        <f t="array" ref="E191">IFERROR(LOWER(TRIM(INDEX('claude-sonnet-4-6'!A:K,MATCH(A191,'claude-sonnet-4-6'!A:A,0),$W$12))),"NOT FOUND")</f>
        <v>oppose</v>
      </c>
      <c r="F191" t="b">
        <f t="shared" si="14"/>
        <v>1</v>
      </c>
      <c r="G191" t="b">
        <f t="shared" si="15"/>
        <v>1</v>
      </c>
      <c r="H191" t="b">
        <f t="shared" si="16"/>
        <v>0</v>
      </c>
      <c r="I191" t="str">
        <f t="shared" si="17"/>
        <v>oppose</v>
      </c>
      <c r="J191" t="str">
        <f t="shared" si="18"/>
        <v/>
      </c>
    </row>
    <row r="192" spans="1:10" x14ac:dyDescent="0.2">
      <c r="A192">
        <f>'Hand Coded'!A192</f>
        <v>5518</v>
      </c>
      <c r="B192" t="str" cm="1">
        <f t="array" ref="B192">LOWER(TRIM(INDEX('Hand Coded'!A:G,ROW(),$W$11)))</f>
        <v>oppose</v>
      </c>
      <c r="C192" t="str" cm="1">
        <f t="array" ref="C192">IFERROR(LOWER(TRIM(INDEX('gemini-3.1-flash-lite-preview'!A:K,MATCH(A192,'gemini-3.1-flash-lite-preview'!A:A,0),$W$12))),"NOT FOUND")</f>
        <v>oppose</v>
      </c>
      <c r="D192" t="str" cm="1">
        <f t="array" ref="D192">IFERROR(LOWER(TRIM(INDEX('gpt-5.4-mini'!A:K,MATCH(A192,'gpt-5.4-mini'!A:A,0),$W$12))),"NOT FOUND")</f>
        <v>oppose</v>
      </c>
      <c r="E192" t="str" cm="1">
        <f t="array" ref="E192">IFERROR(LOWER(TRIM(INDEX('claude-sonnet-4-6'!A:K,MATCH(A192,'claude-sonnet-4-6'!A:A,0),$W$12))),"NOT FOUND")</f>
        <v>oppose</v>
      </c>
      <c r="F192" t="b">
        <f t="shared" si="14"/>
        <v>1</v>
      </c>
      <c r="G192" t="b">
        <f t="shared" si="15"/>
        <v>1</v>
      </c>
      <c r="H192" t="b">
        <f t="shared" si="16"/>
        <v>0</v>
      </c>
      <c r="I192" t="str">
        <f t="shared" si="17"/>
        <v>oppose</v>
      </c>
      <c r="J192" t="str">
        <f t="shared" si="18"/>
        <v/>
      </c>
    </row>
    <row r="193" spans="1:10" x14ac:dyDescent="0.2">
      <c r="A193">
        <f>'Hand Coded'!A193</f>
        <v>5661</v>
      </c>
      <c r="B193" t="str" cm="1">
        <f t="array" ref="B193">LOWER(TRIM(INDEX('Hand Coded'!A:G,ROW(),$W$11)))</f>
        <v>oppose</v>
      </c>
      <c r="C193" t="str" cm="1">
        <f t="array" ref="C193">IFERROR(LOWER(TRIM(INDEX('gemini-3.1-flash-lite-preview'!A:K,MATCH(A193,'gemini-3.1-flash-lite-preview'!A:A,0),$W$12))),"NOT FOUND")</f>
        <v>oppose</v>
      </c>
      <c r="D193" t="str" cm="1">
        <f t="array" ref="D193">IFERROR(LOWER(TRIM(INDEX('gpt-5.4-mini'!A:K,MATCH(A193,'gpt-5.4-mini'!A:A,0),$W$12))),"NOT FOUND")</f>
        <v>oppose</v>
      </c>
      <c r="E193" t="str" cm="1">
        <f t="array" ref="E193">IFERROR(LOWER(TRIM(INDEX('claude-sonnet-4-6'!A:K,MATCH(A193,'claude-sonnet-4-6'!A:A,0),$W$12))),"NOT FOUND")</f>
        <v>oppose</v>
      </c>
      <c r="F193" t="b">
        <f t="shared" si="14"/>
        <v>1</v>
      </c>
      <c r="G193" t="b">
        <f t="shared" si="15"/>
        <v>1</v>
      </c>
      <c r="H193" t="b">
        <f t="shared" si="16"/>
        <v>0</v>
      </c>
      <c r="I193" t="str">
        <f t="shared" si="17"/>
        <v>oppose</v>
      </c>
      <c r="J193" t="str">
        <f t="shared" si="18"/>
        <v/>
      </c>
    </row>
    <row r="194" spans="1:10" x14ac:dyDescent="0.2">
      <c r="A194">
        <f>'Hand Coded'!A194</f>
        <v>5699</v>
      </c>
      <c r="B194" t="str" cm="1">
        <f t="array" ref="B194">LOWER(TRIM(INDEX('Hand Coded'!A:G,ROW(),$W$11)))</f>
        <v>oppose</v>
      </c>
      <c r="C194" t="str" cm="1">
        <f t="array" ref="C194">IFERROR(LOWER(TRIM(INDEX('gemini-3.1-flash-lite-preview'!A:K,MATCH(A194,'gemini-3.1-flash-lite-preview'!A:A,0),$W$12))),"NOT FOUND")</f>
        <v>oppose</v>
      </c>
      <c r="D194" t="str" cm="1">
        <f t="array" ref="D194">IFERROR(LOWER(TRIM(INDEX('gpt-5.4-mini'!A:K,MATCH(A194,'gpt-5.4-mini'!A:A,0),$W$12))),"NOT FOUND")</f>
        <v>oppose</v>
      </c>
      <c r="E194" t="str" cm="1">
        <f t="array" ref="E194">IFERROR(LOWER(TRIM(INDEX('claude-sonnet-4-6'!A:K,MATCH(A194,'claude-sonnet-4-6'!A:A,0),$W$12))),"NOT FOUND")</f>
        <v>oppose</v>
      </c>
      <c r="F194" t="b">
        <f t="shared" si="14"/>
        <v>1</v>
      </c>
      <c r="G194" t="b">
        <f t="shared" si="15"/>
        <v>1</v>
      </c>
      <c r="H194" t="b">
        <f t="shared" si="16"/>
        <v>0</v>
      </c>
      <c r="I194" t="str">
        <f t="shared" si="17"/>
        <v>oppose</v>
      </c>
      <c r="J194" t="str">
        <f t="shared" si="18"/>
        <v/>
      </c>
    </row>
    <row r="195" spans="1:10" x14ac:dyDescent="0.2">
      <c r="A195">
        <f>'Hand Coded'!A195</f>
        <v>5733</v>
      </c>
      <c r="B195" t="str" cm="1">
        <f t="array" ref="B195">LOWER(TRIM(INDEX('Hand Coded'!A:G,ROW(),$W$11)))</f>
        <v>support</v>
      </c>
      <c r="C195" t="str" cm="1">
        <f t="array" ref="C195">IFERROR(LOWER(TRIM(INDEX('gemini-3.1-flash-lite-preview'!A:K,MATCH(A195,'gemini-3.1-flash-lite-preview'!A:A,0),$W$12))),"NOT FOUND")</f>
        <v>support</v>
      </c>
      <c r="D195" t="str" cm="1">
        <f t="array" ref="D195">IFERROR(LOWER(TRIM(INDEX('gpt-5.4-mini'!A:K,MATCH(A195,'gpt-5.4-mini'!A:A,0),$W$12))),"NOT FOUND")</f>
        <v>support</v>
      </c>
      <c r="E195" t="str" cm="1">
        <f t="array" ref="E195">IFERROR(LOWER(TRIM(INDEX('claude-sonnet-4-6'!A:K,MATCH(A195,'claude-sonnet-4-6'!A:A,0),$W$12))),"NOT FOUND")</f>
        <v>support</v>
      </c>
      <c r="F195" t="b">
        <f t="shared" ref="F195:F235" si="19">AND(C195=D195,D195=E195)</f>
        <v>1</v>
      </c>
      <c r="G195" t="b">
        <f t="shared" ref="G195:G235" si="20">IF(F195,B195=C195,"N/A")</f>
        <v>1</v>
      </c>
      <c r="H195" t="b">
        <f t="shared" ref="H195:H235" si="21">AND(F195,B195&lt;&gt;C195)</f>
        <v>0</v>
      </c>
      <c r="I195" t="str">
        <f t="shared" ref="I195:I235" si="22">IF(F195,C195,"No consensus")</f>
        <v>support</v>
      </c>
      <c r="J195" t="str">
        <f t="shared" ref="J195:J235" si="23">IF(H195,B195&amp;" → "&amp;I195,"")</f>
        <v/>
      </c>
    </row>
    <row r="196" spans="1:10" x14ac:dyDescent="0.2">
      <c r="A196">
        <f>'Hand Coded'!A196</f>
        <v>5771</v>
      </c>
      <c r="B196" t="str" cm="1">
        <f t="array" ref="B196">LOWER(TRIM(INDEX('Hand Coded'!A:G,ROW(),$W$11)))</f>
        <v>support</v>
      </c>
      <c r="C196" t="str" cm="1">
        <f t="array" ref="C196">IFERROR(LOWER(TRIM(INDEX('gemini-3.1-flash-lite-preview'!A:K,MATCH(A196,'gemini-3.1-flash-lite-preview'!A:A,0),$W$12))),"NOT FOUND")</f>
        <v>support with changes</v>
      </c>
      <c r="D196" t="str" cm="1">
        <f t="array" ref="D196">IFERROR(LOWER(TRIM(INDEX('gpt-5.4-mini'!A:K,MATCH(A196,'gpt-5.4-mini'!A:A,0),$W$12))),"NOT FOUND")</f>
        <v>oppose</v>
      </c>
      <c r="E196" t="str" cm="1">
        <f t="array" ref="E196">IFERROR(LOWER(TRIM(INDEX('claude-sonnet-4-6'!A:K,MATCH(A196,'claude-sonnet-4-6'!A:A,0),$W$12))),"NOT FOUND")</f>
        <v>oppose</v>
      </c>
      <c r="F196" t="b">
        <f t="shared" si="19"/>
        <v>0</v>
      </c>
      <c r="G196" t="str">
        <f t="shared" si="20"/>
        <v>N/A</v>
      </c>
      <c r="H196" t="b">
        <f t="shared" si="21"/>
        <v>0</v>
      </c>
      <c r="I196" t="str">
        <f t="shared" si="22"/>
        <v>No consensus</v>
      </c>
      <c r="J196" t="str">
        <f t="shared" si="23"/>
        <v/>
      </c>
    </row>
    <row r="197" spans="1:10" x14ac:dyDescent="0.2">
      <c r="A197">
        <f>'Hand Coded'!A197</f>
        <v>5796</v>
      </c>
      <c r="B197" t="str" cm="1">
        <f t="array" ref="B197">LOWER(TRIM(INDEX('Hand Coded'!A:G,ROW(),$W$11)))</f>
        <v>oppose</v>
      </c>
      <c r="C197" t="str" cm="1">
        <f t="array" ref="C197">IFERROR(LOWER(TRIM(INDEX('gemini-3.1-flash-lite-preview'!A:K,MATCH(A197,'gemini-3.1-flash-lite-preview'!A:A,0),$W$12))),"NOT FOUND")</f>
        <v>oppose</v>
      </c>
      <c r="D197" t="str" cm="1">
        <f t="array" ref="D197">IFERROR(LOWER(TRIM(INDEX('gpt-5.4-mini'!A:K,MATCH(A197,'gpt-5.4-mini'!A:A,0),$W$12))),"NOT FOUND")</f>
        <v>oppose</v>
      </c>
      <c r="E197" t="str" cm="1">
        <f t="array" ref="E197">IFERROR(LOWER(TRIM(INDEX('claude-sonnet-4-6'!A:K,MATCH(A197,'claude-sonnet-4-6'!A:A,0),$W$12))),"NOT FOUND")</f>
        <v>oppose</v>
      </c>
      <c r="F197" t="b">
        <f t="shared" si="19"/>
        <v>1</v>
      </c>
      <c r="G197" t="b">
        <f t="shared" si="20"/>
        <v>1</v>
      </c>
      <c r="H197" t="b">
        <f t="shared" si="21"/>
        <v>0</v>
      </c>
      <c r="I197" t="str">
        <f t="shared" si="22"/>
        <v>oppose</v>
      </c>
      <c r="J197" t="str">
        <f t="shared" si="23"/>
        <v/>
      </c>
    </row>
    <row r="198" spans="1:10" x14ac:dyDescent="0.2">
      <c r="A198">
        <f>'Hand Coded'!A198</f>
        <v>5807</v>
      </c>
      <c r="B198" t="str" cm="1">
        <f t="array" ref="B198">LOWER(TRIM(INDEX('Hand Coded'!A:G,ROW(),$W$11)))</f>
        <v>support with changes</v>
      </c>
      <c r="C198" t="str" cm="1">
        <f t="array" ref="C198">IFERROR(LOWER(TRIM(INDEX('gemini-3.1-flash-lite-preview'!A:K,MATCH(A198,'gemini-3.1-flash-lite-preview'!A:A,0),$W$12))),"NOT FOUND")</f>
        <v>support with changes</v>
      </c>
      <c r="D198" t="str" cm="1">
        <f t="array" ref="D198">IFERROR(LOWER(TRIM(INDEX('gpt-5.4-mini'!A:K,MATCH(A198,'gpt-5.4-mini'!A:A,0),$W$12))),"NOT FOUND")</f>
        <v>support with changes</v>
      </c>
      <c r="E198" t="str" cm="1">
        <f t="array" ref="E198">IFERROR(LOWER(TRIM(INDEX('claude-sonnet-4-6'!A:K,MATCH(A198,'claude-sonnet-4-6'!A:A,0),$W$12))),"NOT FOUND")</f>
        <v>support with changes</v>
      </c>
      <c r="F198" t="b">
        <f t="shared" si="19"/>
        <v>1</v>
      </c>
      <c r="G198" t="b">
        <f t="shared" si="20"/>
        <v>1</v>
      </c>
      <c r="H198" t="b">
        <f t="shared" si="21"/>
        <v>0</v>
      </c>
      <c r="I198" t="str">
        <f t="shared" si="22"/>
        <v>support with changes</v>
      </c>
      <c r="J198" t="str">
        <f t="shared" si="23"/>
        <v/>
      </c>
    </row>
    <row r="199" spans="1:10" x14ac:dyDescent="0.2">
      <c r="A199">
        <f>'Hand Coded'!A199</f>
        <v>5810</v>
      </c>
      <c r="B199" t="str" cm="1">
        <f t="array" ref="B199">LOWER(TRIM(INDEX('Hand Coded'!A:G,ROW(),$W$11)))</f>
        <v>support with changes</v>
      </c>
      <c r="C199" t="str" cm="1">
        <f t="array" ref="C199">IFERROR(LOWER(TRIM(INDEX('gemini-3.1-flash-lite-preview'!A:K,MATCH(A199,'gemini-3.1-flash-lite-preview'!A:A,0),$W$12))),"NOT FOUND")</f>
        <v>support with changes</v>
      </c>
      <c r="D199" t="str" cm="1">
        <f t="array" ref="D199">IFERROR(LOWER(TRIM(INDEX('gpt-5.4-mini'!A:K,MATCH(A199,'gpt-5.4-mini'!A:A,0),$W$12))),"NOT FOUND")</f>
        <v>support with changes</v>
      </c>
      <c r="E199" t="str" cm="1">
        <f t="array" ref="E199">IFERROR(LOWER(TRIM(INDEX('claude-sonnet-4-6'!A:K,MATCH(A199,'claude-sonnet-4-6'!A:A,0),$W$12))),"NOT FOUND")</f>
        <v>support with changes</v>
      </c>
      <c r="F199" t="b">
        <f t="shared" si="19"/>
        <v>1</v>
      </c>
      <c r="G199" t="b">
        <f t="shared" si="20"/>
        <v>1</v>
      </c>
      <c r="H199" t="b">
        <f t="shared" si="21"/>
        <v>0</v>
      </c>
      <c r="I199" t="str">
        <f t="shared" si="22"/>
        <v>support with changes</v>
      </c>
      <c r="J199" t="str">
        <f t="shared" si="23"/>
        <v/>
      </c>
    </row>
    <row r="200" spans="1:10" x14ac:dyDescent="0.2">
      <c r="A200">
        <f>'Hand Coded'!A200</f>
        <v>5844</v>
      </c>
      <c r="B200" t="str" cm="1">
        <f t="array" ref="B200">LOWER(TRIM(INDEX('Hand Coded'!A:G,ROW(),$W$11)))</f>
        <v>neutral</v>
      </c>
      <c r="C200" t="str" cm="1">
        <f t="array" ref="C200">IFERROR(LOWER(TRIM(INDEX('gemini-3.1-flash-lite-preview'!A:K,MATCH(A200,'gemini-3.1-flash-lite-preview'!A:A,0),$W$12))),"NOT FOUND")</f>
        <v>neutral</v>
      </c>
      <c r="D200" t="str" cm="1">
        <f t="array" ref="D200">IFERROR(LOWER(TRIM(INDEX('gpt-5.4-mini'!A:K,MATCH(A200,'gpt-5.4-mini'!A:A,0),$W$12))),"NOT FOUND")</f>
        <v>neutral</v>
      </c>
      <c r="E200" t="str" cm="1">
        <f t="array" ref="E200">IFERROR(LOWER(TRIM(INDEX('claude-sonnet-4-6'!A:K,MATCH(A200,'claude-sonnet-4-6'!A:A,0),$W$12))),"NOT FOUND")</f>
        <v>neutral</v>
      </c>
      <c r="F200" t="b">
        <f t="shared" si="19"/>
        <v>1</v>
      </c>
      <c r="G200" t="b">
        <f t="shared" si="20"/>
        <v>1</v>
      </c>
      <c r="H200" t="b">
        <f t="shared" si="21"/>
        <v>0</v>
      </c>
      <c r="I200" t="str">
        <f t="shared" si="22"/>
        <v>neutral</v>
      </c>
      <c r="J200" t="str">
        <f t="shared" si="23"/>
        <v/>
      </c>
    </row>
    <row r="201" spans="1:10" x14ac:dyDescent="0.2">
      <c r="A201">
        <f>'Hand Coded'!A201</f>
        <v>5891</v>
      </c>
      <c r="B201" t="str" cm="1">
        <f t="array" ref="B201">LOWER(TRIM(INDEX('Hand Coded'!A:G,ROW(),$W$11)))</f>
        <v>neutral</v>
      </c>
      <c r="C201" t="str" cm="1">
        <f t="array" ref="C201">IFERROR(LOWER(TRIM(INDEX('gemini-3.1-flash-lite-preview'!A:K,MATCH(A201,'gemini-3.1-flash-lite-preview'!A:A,0),$W$12))),"NOT FOUND")</f>
        <v>neutral</v>
      </c>
      <c r="D201" t="str" cm="1">
        <f t="array" ref="D201">IFERROR(LOWER(TRIM(INDEX('gpt-5.4-mini'!A:K,MATCH(A201,'gpt-5.4-mini'!A:A,0),$W$12))),"NOT FOUND")</f>
        <v>neutral</v>
      </c>
      <c r="E201" t="str" cm="1">
        <f t="array" ref="E201">IFERROR(LOWER(TRIM(INDEX('claude-sonnet-4-6'!A:K,MATCH(A201,'claude-sonnet-4-6'!A:A,0),$W$12))),"NOT FOUND")</f>
        <v>neutral</v>
      </c>
      <c r="F201" t="b">
        <f t="shared" si="19"/>
        <v>1</v>
      </c>
      <c r="G201" t="b">
        <f t="shared" si="20"/>
        <v>1</v>
      </c>
      <c r="H201" t="b">
        <f t="shared" si="21"/>
        <v>0</v>
      </c>
      <c r="I201" t="str">
        <f t="shared" si="22"/>
        <v>neutral</v>
      </c>
      <c r="J201" t="str">
        <f t="shared" si="23"/>
        <v/>
      </c>
    </row>
    <row r="202" spans="1:10" x14ac:dyDescent="0.2">
      <c r="A202">
        <f>'Hand Coded'!A202</f>
        <v>5893</v>
      </c>
      <c r="B202" t="str" cm="1">
        <f t="array" ref="B202">LOWER(TRIM(INDEX('Hand Coded'!A:G,ROW(),$W$11)))</f>
        <v>support</v>
      </c>
      <c r="C202" t="str" cm="1">
        <f t="array" ref="C202">IFERROR(LOWER(TRIM(INDEX('gemini-3.1-flash-lite-preview'!A:K,MATCH(A202,'gemini-3.1-flash-lite-preview'!A:A,0),$W$12))),"NOT FOUND")</f>
        <v>support</v>
      </c>
      <c r="D202" t="str" cm="1">
        <f t="array" ref="D202">IFERROR(LOWER(TRIM(INDEX('gpt-5.4-mini'!A:K,MATCH(A202,'gpt-5.4-mini'!A:A,0),$W$12))),"NOT FOUND")</f>
        <v>support</v>
      </c>
      <c r="E202" t="str" cm="1">
        <f t="array" ref="E202">IFERROR(LOWER(TRIM(INDEX('claude-sonnet-4-6'!A:K,MATCH(A202,'claude-sonnet-4-6'!A:A,0),$W$12))),"NOT FOUND")</f>
        <v>support</v>
      </c>
      <c r="F202" t="b">
        <f t="shared" si="19"/>
        <v>1</v>
      </c>
      <c r="G202" t="b">
        <f t="shared" si="20"/>
        <v>1</v>
      </c>
      <c r="H202" t="b">
        <f t="shared" si="21"/>
        <v>0</v>
      </c>
      <c r="I202" t="str">
        <f t="shared" si="22"/>
        <v>support</v>
      </c>
      <c r="J202" t="str">
        <f t="shared" si="23"/>
        <v/>
      </c>
    </row>
    <row r="203" spans="1:10" x14ac:dyDescent="0.2">
      <c r="A203">
        <f>'Hand Coded'!A203</f>
        <v>5978</v>
      </c>
      <c r="B203" t="str" cm="1">
        <f t="array" ref="B203">LOWER(TRIM(INDEX('Hand Coded'!A:G,ROW(),$W$11)))</f>
        <v>support with changes</v>
      </c>
      <c r="C203" t="str" cm="1">
        <f t="array" ref="C203">IFERROR(LOWER(TRIM(INDEX('gemini-3.1-flash-lite-preview'!A:K,MATCH(A203,'gemini-3.1-flash-lite-preview'!A:A,0),$W$12))),"NOT FOUND")</f>
        <v>support with changes</v>
      </c>
      <c r="D203" t="str" cm="1">
        <f t="array" ref="D203">IFERROR(LOWER(TRIM(INDEX('gpt-5.4-mini'!A:K,MATCH(A203,'gpt-5.4-mini'!A:A,0),$W$12))),"NOT FOUND")</f>
        <v>support with changes</v>
      </c>
      <c r="E203" t="str" cm="1">
        <f t="array" ref="E203">IFERROR(LOWER(TRIM(INDEX('claude-sonnet-4-6'!A:K,MATCH(A203,'claude-sonnet-4-6'!A:A,0),$W$12))),"NOT FOUND")</f>
        <v>support with changes</v>
      </c>
      <c r="F203" t="b">
        <f t="shared" si="19"/>
        <v>1</v>
      </c>
      <c r="G203" t="b">
        <f t="shared" si="20"/>
        <v>1</v>
      </c>
      <c r="H203" t="b">
        <f t="shared" si="21"/>
        <v>0</v>
      </c>
      <c r="I203" t="str">
        <f t="shared" si="22"/>
        <v>support with changes</v>
      </c>
      <c r="J203" t="str">
        <f t="shared" si="23"/>
        <v/>
      </c>
    </row>
    <row r="204" spans="1:10" x14ac:dyDescent="0.2">
      <c r="A204">
        <f>'Hand Coded'!A204</f>
        <v>6002</v>
      </c>
      <c r="B204" t="str" cm="1">
        <f t="array" ref="B204">LOWER(TRIM(INDEX('Hand Coded'!A:G,ROW(),$W$11)))</f>
        <v>oppose</v>
      </c>
      <c r="C204" t="str" cm="1">
        <f t="array" ref="C204">IFERROR(LOWER(TRIM(INDEX('gemini-3.1-flash-lite-preview'!A:K,MATCH(A204,'gemini-3.1-flash-lite-preview'!A:A,0),$W$12))),"NOT FOUND")</f>
        <v>oppose</v>
      </c>
      <c r="D204" t="str" cm="1">
        <f t="array" ref="D204">IFERROR(LOWER(TRIM(INDEX('gpt-5.4-mini'!A:K,MATCH(A204,'gpt-5.4-mini'!A:A,0),$W$12))),"NOT FOUND")</f>
        <v>oppose</v>
      </c>
      <c r="E204" t="str" cm="1">
        <f t="array" ref="E204">IFERROR(LOWER(TRIM(INDEX('claude-sonnet-4-6'!A:K,MATCH(A204,'claude-sonnet-4-6'!A:A,0),$W$12))),"NOT FOUND")</f>
        <v>oppose</v>
      </c>
      <c r="F204" t="b">
        <f t="shared" si="19"/>
        <v>1</v>
      </c>
      <c r="G204" t="b">
        <f t="shared" si="20"/>
        <v>1</v>
      </c>
      <c r="H204" t="b">
        <f t="shared" si="21"/>
        <v>0</v>
      </c>
      <c r="I204" t="str">
        <f t="shared" si="22"/>
        <v>oppose</v>
      </c>
      <c r="J204" t="str">
        <f t="shared" si="23"/>
        <v/>
      </c>
    </row>
    <row r="205" spans="1:10" x14ac:dyDescent="0.2">
      <c r="A205">
        <f>'Hand Coded'!A205</f>
        <v>6007</v>
      </c>
      <c r="B205" t="str" cm="1">
        <f t="array" ref="B205">LOWER(TRIM(INDEX('Hand Coded'!A:G,ROW(),$W$11)))</f>
        <v>neutral</v>
      </c>
      <c r="C205" t="str" cm="1">
        <f t="array" ref="C205">IFERROR(LOWER(TRIM(INDEX('gemini-3.1-flash-lite-preview'!A:K,MATCH(A205,'gemini-3.1-flash-lite-preview'!A:A,0),$W$12))),"NOT FOUND")</f>
        <v>oppose</v>
      </c>
      <c r="D205" t="str" cm="1">
        <f t="array" ref="D205">IFERROR(LOWER(TRIM(INDEX('gpt-5.4-mini'!A:K,MATCH(A205,'gpt-5.4-mini'!A:A,0),$W$12))),"NOT FOUND")</f>
        <v>oppose</v>
      </c>
      <c r="E205" t="str" cm="1">
        <f t="array" ref="E205">IFERROR(LOWER(TRIM(INDEX('claude-sonnet-4-6'!A:K,MATCH(A205,'claude-sonnet-4-6'!A:A,0),$W$12))),"NOT FOUND")</f>
        <v>oppose</v>
      </c>
      <c r="F205" t="b">
        <f t="shared" si="19"/>
        <v>1</v>
      </c>
      <c r="G205" t="b">
        <f t="shared" si="20"/>
        <v>0</v>
      </c>
      <c r="H205" t="b">
        <f t="shared" si="21"/>
        <v>1</v>
      </c>
      <c r="I205" t="str">
        <f t="shared" si="22"/>
        <v>oppose</v>
      </c>
      <c r="J205" t="str">
        <f t="shared" si="23"/>
        <v>neutral → oppose</v>
      </c>
    </row>
    <row r="206" spans="1:10" x14ac:dyDescent="0.2">
      <c r="A206">
        <f>'Hand Coded'!A206</f>
        <v>6026</v>
      </c>
      <c r="B206" t="str" cm="1">
        <f t="array" ref="B206">LOWER(TRIM(INDEX('Hand Coded'!A:G,ROW(),$W$11)))</f>
        <v>neutral</v>
      </c>
      <c r="C206" t="str" cm="1">
        <f t="array" ref="C206">IFERROR(LOWER(TRIM(INDEX('gemini-3.1-flash-lite-preview'!A:K,MATCH(A206,'gemini-3.1-flash-lite-preview'!A:A,0),$W$12))),"NOT FOUND")</f>
        <v>oppose</v>
      </c>
      <c r="D206" t="str" cm="1">
        <f t="array" ref="D206">IFERROR(LOWER(TRIM(INDEX('gpt-5.4-mini'!A:K,MATCH(A206,'gpt-5.4-mini'!A:A,0),$W$12))),"NOT FOUND")</f>
        <v>neutral</v>
      </c>
      <c r="E206" t="str" cm="1">
        <f t="array" ref="E206">IFERROR(LOWER(TRIM(INDEX('claude-sonnet-4-6'!A:K,MATCH(A206,'claude-sonnet-4-6'!A:A,0),$W$12))),"NOT FOUND")</f>
        <v>oppose</v>
      </c>
      <c r="F206" t="b">
        <f t="shared" si="19"/>
        <v>0</v>
      </c>
      <c r="G206" t="str">
        <f t="shared" si="20"/>
        <v>N/A</v>
      </c>
      <c r="H206" t="b">
        <f t="shared" si="21"/>
        <v>0</v>
      </c>
      <c r="I206" t="str">
        <f t="shared" si="22"/>
        <v>No consensus</v>
      </c>
      <c r="J206" t="str">
        <f t="shared" si="23"/>
        <v/>
      </c>
    </row>
    <row r="207" spans="1:10" x14ac:dyDescent="0.2">
      <c r="A207">
        <f>'Hand Coded'!A207</f>
        <v>6121</v>
      </c>
      <c r="B207" t="str" cm="1">
        <f t="array" ref="B207">LOWER(TRIM(INDEX('Hand Coded'!A:G,ROW(),$W$11)))</f>
        <v>neutral</v>
      </c>
      <c r="C207" t="str" cm="1">
        <f t="array" ref="C207">IFERROR(LOWER(TRIM(INDEX('gemini-3.1-flash-lite-preview'!A:K,MATCH(A207,'gemini-3.1-flash-lite-preview'!A:A,0),$W$12))),"NOT FOUND")</f>
        <v>neutral</v>
      </c>
      <c r="D207" t="str" cm="1">
        <f t="array" ref="D207">IFERROR(LOWER(TRIM(INDEX('gpt-5.4-mini'!A:K,MATCH(A207,'gpt-5.4-mini'!A:A,0),$W$12))),"NOT FOUND")</f>
        <v>neutral</v>
      </c>
      <c r="E207" t="str" cm="1">
        <f t="array" ref="E207">IFERROR(LOWER(TRIM(INDEX('claude-sonnet-4-6'!A:K,MATCH(A207,'claude-sonnet-4-6'!A:A,0),$W$12))),"NOT FOUND")</f>
        <v>neutral</v>
      </c>
      <c r="F207" t="b">
        <f t="shared" si="19"/>
        <v>1</v>
      </c>
      <c r="G207" t="b">
        <f t="shared" si="20"/>
        <v>1</v>
      </c>
      <c r="H207" t="b">
        <f t="shared" si="21"/>
        <v>0</v>
      </c>
      <c r="I207" t="str">
        <f t="shared" si="22"/>
        <v>neutral</v>
      </c>
      <c r="J207" t="str">
        <f t="shared" si="23"/>
        <v/>
      </c>
    </row>
    <row r="208" spans="1:10" x14ac:dyDescent="0.2">
      <c r="A208">
        <f>'Hand Coded'!A208</f>
        <v>6126</v>
      </c>
      <c r="B208" t="str" cm="1">
        <f t="array" ref="B208">LOWER(TRIM(INDEX('Hand Coded'!A:G,ROW(),$W$11)))</f>
        <v>neutral</v>
      </c>
      <c r="C208" t="str" cm="1">
        <f t="array" ref="C208">IFERROR(LOWER(TRIM(INDEX('gemini-3.1-flash-lite-preview'!A:K,MATCH(A208,'gemini-3.1-flash-lite-preview'!A:A,0),$W$12))),"NOT FOUND")</f>
        <v>neutral</v>
      </c>
      <c r="D208" t="str" cm="1">
        <f t="array" ref="D208">IFERROR(LOWER(TRIM(INDEX('gpt-5.4-mini'!A:K,MATCH(A208,'gpt-5.4-mini'!A:A,0),$W$12))),"NOT FOUND")</f>
        <v>neutral</v>
      </c>
      <c r="E208" t="str" cm="1">
        <f t="array" ref="E208">IFERROR(LOWER(TRIM(INDEX('claude-sonnet-4-6'!A:K,MATCH(A208,'claude-sonnet-4-6'!A:A,0),$W$12))),"NOT FOUND")</f>
        <v>neutral</v>
      </c>
      <c r="F208" t="b">
        <f t="shared" si="19"/>
        <v>1</v>
      </c>
      <c r="G208" t="b">
        <f t="shared" si="20"/>
        <v>1</v>
      </c>
      <c r="H208" t="b">
        <f t="shared" si="21"/>
        <v>0</v>
      </c>
      <c r="I208" t="str">
        <f t="shared" si="22"/>
        <v>neutral</v>
      </c>
      <c r="J208" t="str">
        <f t="shared" si="23"/>
        <v/>
      </c>
    </row>
    <row r="209" spans="1:10" x14ac:dyDescent="0.2">
      <c r="A209">
        <f>'Hand Coded'!A209</f>
        <v>6131</v>
      </c>
      <c r="B209" t="str" cm="1">
        <f t="array" ref="B209">LOWER(TRIM(INDEX('Hand Coded'!A:G,ROW(),$W$11)))</f>
        <v>neutral</v>
      </c>
      <c r="C209" t="str" cm="1">
        <f t="array" ref="C209">IFERROR(LOWER(TRIM(INDEX('gemini-3.1-flash-lite-preview'!A:K,MATCH(A209,'gemini-3.1-flash-lite-preview'!A:A,0),$W$12))),"NOT FOUND")</f>
        <v>neutral</v>
      </c>
      <c r="D209" t="str" cm="1">
        <f t="array" ref="D209">IFERROR(LOWER(TRIM(INDEX('gpt-5.4-mini'!A:K,MATCH(A209,'gpt-5.4-mini'!A:A,0),$W$12))),"NOT FOUND")</f>
        <v>neutral</v>
      </c>
      <c r="E209" t="str" cm="1">
        <f t="array" ref="E209">IFERROR(LOWER(TRIM(INDEX('claude-sonnet-4-6'!A:K,MATCH(A209,'claude-sonnet-4-6'!A:A,0),$W$12))),"NOT FOUND")</f>
        <v>neutral</v>
      </c>
      <c r="F209" t="b">
        <f t="shared" si="19"/>
        <v>1</v>
      </c>
      <c r="G209" t="b">
        <f t="shared" si="20"/>
        <v>1</v>
      </c>
      <c r="H209" t="b">
        <f t="shared" si="21"/>
        <v>0</v>
      </c>
      <c r="I209" t="str">
        <f t="shared" si="22"/>
        <v>neutral</v>
      </c>
      <c r="J209" t="str">
        <f t="shared" si="23"/>
        <v/>
      </c>
    </row>
    <row r="210" spans="1:10" x14ac:dyDescent="0.2">
      <c r="A210">
        <f>'Hand Coded'!A210</f>
        <v>6168</v>
      </c>
      <c r="B210" t="str" cm="1">
        <f t="array" ref="B210">LOWER(TRIM(INDEX('Hand Coded'!A:G,ROW(),$W$11)))</f>
        <v>neutral</v>
      </c>
      <c r="C210" t="str" cm="1">
        <f t="array" ref="C210">IFERROR(LOWER(TRIM(INDEX('gemini-3.1-flash-lite-preview'!A:K,MATCH(A210,'gemini-3.1-flash-lite-preview'!A:A,0),$W$12))),"NOT FOUND")</f>
        <v>neutral</v>
      </c>
      <c r="D210" t="str" cm="1">
        <f t="array" ref="D210">IFERROR(LOWER(TRIM(INDEX('gpt-5.4-mini'!A:K,MATCH(A210,'gpt-5.4-mini'!A:A,0),$W$12))),"NOT FOUND")</f>
        <v>neutral</v>
      </c>
      <c r="E210" t="str" cm="1">
        <f t="array" ref="E210">IFERROR(LOWER(TRIM(INDEX('claude-sonnet-4-6'!A:K,MATCH(A210,'claude-sonnet-4-6'!A:A,0),$W$12))),"NOT FOUND")</f>
        <v>neutral</v>
      </c>
      <c r="F210" t="b">
        <f t="shared" si="19"/>
        <v>1</v>
      </c>
      <c r="G210" t="b">
        <f t="shared" si="20"/>
        <v>1</v>
      </c>
      <c r="H210" t="b">
        <f t="shared" si="21"/>
        <v>0</v>
      </c>
      <c r="I210" t="str">
        <f t="shared" si="22"/>
        <v>neutral</v>
      </c>
      <c r="J210" t="str">
        <f t="shared" si="23"/>
        <v/>
      </c>
    </row>
    <row r="211" spans="1:10" x14ac:dyDescent="0.2">
      <c r="A211">
        <f>'Hand Coded'!A211</f>
        <v>6279</v>
      </c>
      <c r="B211" t="str" cm="1">
        <f t="array" ref="B211">LOWER(TRIM(INDEX('Hand Coded'!A:G,ROW(),$W$11)))</f>
        <v>oppose</v>
      </c>
      <c r="C211" t="str" cm="1">
        <f t="array" ref="C211">IFERROR(LOWER(TRIM(INDEX('gemini-3.1-flash-lite-preview'!A:K,MATCH(A211,'gemini-3.1-flash-lite-preview'!A:A,0),$W$12))),"NOT FOUND")</f>
        <v>oppose</v>
      </c>
      <c r="D211" t="str" cm="1">
        <f t="array" ref="D211">IFERROR(LOWER(TRIM(INDEX('gpt-5.4-mini'!A:K,MATCH(A211,'gpt-5.4-mini'!A:A,0),$W$12))),"NOT FOUND")</f>
        <v>oppose</v>
      </c>
      <c r="E211" t="str" cm="1">
        <f t="array" ref="E211">IFERROR(LOWER(TRIM(INDEX('claude-sonnet-4-6'!A:K,MATCH(A211,'claude-sonnet-4-6'!A:A,0),$W$12))),"NOT FOUND")</f>
        <v>oppose</v>
      </c>
      <c r="F211" t="b">
        <f t="shared" si="19"/>
        <v>1</v>
      </c>
      <c r="G211" t="b">
        <f t="shared" si="20"/>
        <v>1</v>
      </c>
      <c r="H211" t="b">
        <f t="shared" si="21"/>
        <v>0</v>
      </c>
      <c r="I211" t="str">
        <f t="shared" si="22"/>
        <v>oppose</v>
      </c>
      <c r="J211" t="str">
        <f t="shared" si="23"/>
        <v/>
      </c>
    </row>
    <row r="212" spans="1:10" x14ac:dyDescent="0.2">
      <c r="A212">
        <f>'Hand Coded'!A212</f>
        <v>6297</v>
      </c>
      <c r="B212" t="str" cm="1">
        <f t="array" ref="B212">LOWER(TRIM(INDEX('Hand Coded'!A:G,ROW(),$W$11)))</f>
        <v>oppose</v>
      </c>
      <c r="C212" t="str" cm="1">
        <f t="array" ref="C212">IFERROR(LOWER(TRIM(INDEX('gemini-3.1-flash-lite-preview'!A:K,MATCH(A212,'gemini-3.1-flash-lite-preview'!A:A,0),$W$12))),"NOT FOUND")</f>
        <v>support with changes</v>
      </c>
      <c r="D212" t="str" cm="1">
        <f t="array" ref="D212">IFERROR(LOWER(TRIM(INDEX('gpt-5.4-mini'!A:K,MATCH(A212,'gpt-5.4-mini'!A:A,0),$W$12))),"NOT FOUND")</f>
        <v>support with changes</v>
      </c>
      <c r="E212" t="str" cm="1">
        <f t="array" ref="E212">IFERROR(LOWER(TRIM(INDEX('claude-sonnet-4-6'!A:K,MATCH(A212,'claude-sonnet-4-6'!A:A,0),$W$12))),"NOT FOUND")</f>
        <v>oppose</v>
      </c>
      <c r="F212" t="b">
        <f t="shared" si="19"/>
        <v>0</v>
      </c>
      <c r="G212" t="str">
        <f t="shared" si="20"/>
        <v>N/A</v>
      </c>
      <c r="H212" t="b">
        <f t="shared" si="21"/>
        <v>0</v>
      </c>
      <c r="I212" t="str">
        <f t="shared" si="22"/>
        <v>No consensus</v>
      </c>
      <c r="J212" t="str">
        <f t="shared" si="23"/>
        <v/>
      </c>
    </row>
    <row r="213" spans="1:10" x14ac:dyDescent="0.2">
      <c r="A213">
        <f>'Hand Coded'!A213</f>
        <v>6382</v>
      </c>
      <c r="B213" t="str" cm="1">
        <f t="array" ref="B213">LOWER(TRIM(INDEX('Hand Coded'!A:G,ROW(),$W$11)))</f>
        <v>oppose</v>
      </c>
      <c r="C213" t="str" cm="1">
        <f t="array" ref="C213">IFERROR(LOWER(TRIM(INDEX('gemini-3.1-flash-lite-preview'!A:K,MATCH(A213,'gemini-3.1-flash-lite-preview'!A:A,0),$W$12))),"NOT FOUND")</f>
        <v>oppose</v>
      </c>
      <c r="D213" t="str" cm="1">
        <f t="array" ref="D213">IFERROR(LOWER(TRIM(INDEX('gpt-5.4-mini'!A:K,MATCH(A213,'gpt-5.4-mini'!A:A,0),$W$12))),"NOT FOUND")</f>
        <v>oppose</v>
      </c>
      <c r="E213" t="str" cm="1">
        <f t="array" ref="E213">IFERROR(LOWER(TRIM(INDEX('claude-sonnet-4-6'!A:K,MATCH(A213,'claude-sonnet-4-6'!A:A,0),$W$12))),"NOT FOUND")</f>
        <v>oppose</v>
      </c>
      <c r="F213" t="b">
        <f t="shared" si="19"/>
        <v>1</v>
      </c>
      <c r="G213" t="b">
        <f t="shared" si="20"/>
        <v>1</v>
      </c>
      <c r="H213" t="b">
        <f t="shared" si="21"/>
        <v>0</v>
      </c>
      <c r="I213" t="str">
        <f t="shared" si="22"/>
        <v>oppose</v>
      </c>
      <c r="J213" t="str">
        <f t="shared" si="23"/>
        <v/>
      </c>
    </row>
    <row r="214" spans="1:10" x14ac:dyDescent="0.2">
      <c r="A214">
        <f>'Hand Coded'!A214</f>
        <v>6408</v>
      </c>
      <c r="B214" t="str" cm="1">
        <f t="array" ref="B214">LOWER(TRIM(INDEX('Hand Coded'!A:G,ROW(),$W$11)))</f>
        <v>oppose</v>
      </c>
      <c r="C214" t="str" cm="1">
        <f t="array" ref="C214">IFERROR(LOWER(TRIM(INDEX('gemini-3.1-flash-lite-preview'!A:K,MATCH(A214,'gemini-3.1-flash-lite-preview'!A:A,0),$W$12))),"NOT FOUND")</f>
        <v>support with changes</v>
      </c>
      <c r="D214" t="str" cm="1">
        <f t="array" ref="D214">IFERROR(LOWER(TRIM(INDEX('gpt-5.4-mini'!A:K,MATCH(A214,'gpt-5.4-mini'!A:A,0),$W$12))),"NOT FOUND")</f>
        <v>support with changes</v>
      </c>
      <c r="E214" t="str" cm="1">
        <f t="array" ref="E214">IFERROR(LOWER(TRIM(INDEX('claude-sonnet-4-6'!A:K,MATCH(A214,'claude-sonnet-4-6'!A:A,0),$W$12))),"NOT FOUND")</f>
        <v>oppose</v>
      </c>
      <c r="F214" t="b">
        <f t="shared" si="19"/>
        <v>0</v>
      </c>
      <c r="G214" t="str">
        <f t="shared" si="20"/>
        <v>N/A</v>
      </c>
      <c r="H214" t="b">
        <f t="shared" si="21"/>
        <v>0</v>
      </c>
      <c r="I214" t="str">
        <f t="shared" si="22"/>
        <v>No consensus</v>
      </c>
      <c r="J214" t="str">
        <f t="shared" si="23"/>
        <v/>
      </c>
    </row>
    <row r="215" spans="1:10" x14ac:dyDescent="0.2">
      <c r="A215">
        <f>'Hand Coded'!A215</f>
        <v>6413</v>
      </c>
      <c r="B215" t="str" cm="1">
        <f t="array" ref="B215">LOWER(TRIM(INDEX('Hand Coded'!A:G,ROW(),$W$11)))</f>
        <v>neutral</v>
      </c>
      <c r="C215" t="str" cm="1">
        <f t="array" ref="C215">IFERROR(LOWER(TRIM(INDEX('gemini-3.1-flash-lite-preview'!A:K,MATCH(A215,'gemini-3.1-flash-lite-preview'!A:A,0),$W$12))),"NOT FOUND")</f>
        <v>oppose</v>
      </c>
      <c r="D215" t="str" cm="1">
        <f t="array" ref="D215">IFERROR(LOWER(TRIM(INDEX('gpt-5.4-mini'!A:K,MATCH(A215,'gpt-5.4-mini'!A:A,0),$W$12))),"NOT FOUND")</f>
        <v>oppose</v>
      </c>
      <c r="E215" t="str" cm="1">
        <f t="array" ref="E215">IFERROR(LOWER(TRIM(INDEX('claude-sonnet-4-6'!A:K,MATCH(A215,'claude-sonnet-4-6'!A:A,0),$W$12))),"NOT FOUND")</f>
        <v>oppose</v>
      </c>
      <c r="F215" t="b">
        <f t="shared" si="19"/>
        <v>1</v>
      </c>
      <c r="G215" t="b">
        <f t="shared" si="20"/>
        <v>0</v>
      </c>
      <c r="H215" t="b">
        <f t="shared" si="21"/>
        <v>1</v>
      </c>
      <c r="I215" t="str">
        <f t="shared" si="22"/>
        <v>oppose</v>
      </c>
      <c r="J215" t="str">
        <f t="shared" si="23"/>
        <v>neutral → oppose</v>
      </c>
    </row>
    <row r="216" spans="1:10" x14ac:dyDescent="0.2">
      <c r="A216">
        <f>'Hand Coded'!A216</f>
        <v>6468</v>
      </c>
      <c r="B216" t="str" cm="1">
        <f t="array" ref="B216">LOWER(TRIM(INDEX('Hand Coded'!A:G,ROW(),$W$11)))</f>
        <v>neutral</v>
      </c>
      <c r="C216" t="str" cm="1">
        <f t="array" ref="C216">IFERROR(LOWER(TRIM(INDEX('gemini-3.1-flash-lite-preview'!A:K,MATCH(A216,'gemini-3.1-flash-lite-preview'!A:A,0),$W$12))),"NOT FOUND")</f>
        <v>neutral</v>
      </c>
      <c r="D216" t="str" cm="1">
        <f t="array" ref="D216">IFERROR(LOWER(TRIM(INDEX('gpt-5.4-mini'!A:K,MATCH(A216,'gpt-5.4-mini'!A:A,0),$W$12))),"NOT FOUND")</f>
        <v>neutral</v>
      </c>
      <c r="E216" t="str" cm="1">
        <f t="array" ref="E216">IFERROR(LOWER(TRIM(INDEX('claude-sonnet-4-6'!A:K,MATCH(A216,'claude-sonnet-4-6'!A:A,0),$W$12))),"NOT FOUND")</f>
        <v>neutral</v>
      </c>
      <c r="F216" t="b">
        <f t="shared" si="19"/>
        <v>1</v>
      </c>
      <c r="G216" t="b">
        <f t="shared" si="20"/>
        <v>1</v>
      </c>
      <c r="H216" t="b">
        <f t="shared" si="21"/>
        <v>0</v>
      </c>
      <c r="I216" t="str">
        <f t="shared" si="22"/>
        <v>neutral</v>
      </c>
      <c r="J216" t="str">
        <f t="shared" si="23"/>
        <v/>
      </c>
    </row>
    <row r="217" spans="1:10" x14ac:dyDescent="0.2">
      <c r="A217">
        <f>'Hand Coded'!A217</f>
        <v>6522</v>
      </c>
      <c r="B217" t="str" cm="1">
        <f t="array" ref="B217">LOWER(TRIM(INDEX('Hand Coded'!A:G,ROW(),$W$11)))</f>
        <v>neutral</v>
      </c>
      <c r="C217" t="str" cm="1">
        <f t="array" ref="C217">IFERROR(LOWER(TRIM(INDEX('gemini-3.1-flash-lite-preview'!A:K,MATCH(A217,'gemini-3.1-flash-lite-preview'!A:A,0),$W$12))),"NOT FOUND")</f>
        <v>support with changes</v>
      </c>
      <c r="D217" t="str" cm="1">
        <f t="array" ref="D217">IFERROR(LOWER(TRIM(INDEX('gpt-5.4-mini'!A:K,MATCH(A217,'gpt-5.4-mini'!A:A,0),$W$12))),"NOT FOUND")</f>
        <v>support with changes</v>
      </c>
      <c r="E217" t="str" cm="1">
        <f t="array" ref="E217">IFERROR(LOWER(TRIM(INDEX('claude-sonnet-4-6'!A:K,MATCH(A217,'claude-sonnet-4-6'!A:A,0),$W$12))),"NOT FOUND")</f>
        <v>support with changes</v>
      </c>
      <c r="F217" t="b">
        <f t="shared" si="19"/>
        <v>1</v>
      </c>
      <c r="G217" t="b">
        <f t="shared" si="20"/>
        <v>0</v>
      </c>
      <c r="H217" t="b">
        <f t="shared" si="21"/>
        <v>1</v>
      </c>
      <c r="I217" t="str">
        <f t="shared" si="22"/>
        <v>support with changes</v>
      </c>
      <c r="J217" t="str">
        <f t="shared" si="23"/>
        <v>neutral → support with changes</v>
      </c>
    </row>
    <row r="218" spans="1:10" x14ac:dyDescent="0.2">
      <c r="A218">
        <f>'Hand Coded'!A218</f>
        <v>6550</v>
      </c>
      <c r="B218" t="str" cm="1">
        <f t="array" ref="B218">LOWER(TRIM(INDEX('Hand Coded'!A:G,ROW(),$W$11)))</f>
        <v>oppose</v>
      </c>
      <c r="C218" t="str" cm="1">
        <f t="array" ref="C218">IFERROR(LOWER(TRIM(INDEX('gemini-3.1-flash-lite-preview'!A:K,MATCH(A218,'gemini-3.1-flash-lite-preview'!A:A,0),$W$12))),"NOT FOUND")</f>
        <v>oppose</v>
      </c>
      <c r="D218" t="str" cm="1">
        <f t="array" ref="D218">IFERROR(LOWER(TRIM(INDEX('gpt-5.4-mini'!A:K,MATCH(A218,'gpt-5.4-mini'!A:A,0),$W$12))),"NOT FOUND")</f>
        <v>oppose</v>
      </c>
      <c r="E218" t="str" cm="1">
        <f t="array" ref="E218">IFERROR(LOWER(TRIM(INDEX('claude-sonnet-4-6'!A:K,MATCH(A218,'claude-sonnet-4-6'!A:A,0),$W$12))),"NOT FOUND")</f>
        <v>oppose</v>
      </c>
      <c r="F218" t="b">
        <f t="shared" si="19"/>
        <v>1</v>
      </c>
      <c r="G218" t="b">
        <f t="shared" si="20"/>
        <v>1</v>
      </c>
      <c r="H218" t="b">
        <f t="shared" si="21"/>
        <v>0</v>
      </c>
      <c r="I218" t="str">
        <f t="shared" si="22"/>
        <v>oppose</v>
      </c>
      <c r="J218" t="str">
        <f t="shared" si="23"/>
        <v/>
      </c>
    </row>
    <row r="219" spans="1:10" x14ac:dyDescent="0.2">
      <c r="A219">
        <f>'Hand Coded'!A219</f>
        <v>6552</v>
      </c>
      <c r="B219" t="str" cm="1">
        <f t="array" ref="B219">LOWER(TRIM(INDEX('Hand Coded'!A:G,ROW(),$W$11)))</f>
        <v>neutral</v>
      </c>
      <c r="C219" t="str" cm="1">
        <f t="array" ref="C219">IFERROR(LOWER(TRIM(INDEX('gemini-3.1-flash-lite-preview'!A:K,MATCH(A219,'gemini-3.1-flash-lite-preview'!A:A,0),$W$12))),"NOT FOUND")</f>
        <v>support with changes</v>
      </c>
      <c r="D219" t="str" cm="1">
        <f t="array" ref="D219">IFERROR(LOWER(TRIM(INDEX('gpt-5.4-mini'!A:K,MATCH(A219,'gpt-5.4-mini'!A:A,0),$W$12))),"NOT FOUND")</f>
        <v>support with changes</v>
      </c>
      <c r="E219" t="str" cm="1">
        <f t="array" ref="E219">IFERROR(LOWER(TRIM(INDEX('claude-sonnet-4-6'!A:K,MATCH(A219,'claude-sonnet-4-6'!A:A,0),$W$12))),"NOT FOUND")</f>
        <v>oppose</v>
      </c>
      <c r="F219" t="b">
        <f t="shared" si="19"/>
        <v>0</v>
      </c>
      <c r="G219" t="str">
        <f t="shared" si="20"/>
        <v>N/A</v>
      </c>
      <c r="H219" t="b">
        <f t="shared" si="21"/>
        <v>0</v>
      </c>
      <c r="I219" t="str">
        <f t="shared" si="22"/>
        <v>No consensus</v>
      </c>
      <c r="J219" t="str">
        <f t="shared" si="23"/>
        <v/>
      </c>
    </row>
    <row r="220" spans="1:10" x14ac:dyDescent="0.2">
      <c r="A220">
        <f>'Hand Coded'!A220</f>
        <v>6563</v>
      </c>
      <c r="B220" t="str" cm="1">
        <f t="array" ref="B220">LOWER(TRIM(INDEX('Hand Coded'!A:G,ROW(),$W$11)))</f>
        <v>support</v>
      </c>
      <c r="C220" t="str" cm="1">
        <f t="array" ref="C220">IFERROR(LOWER(TRIM(INDEX('gemini-3.1-flash-lite-preview'!A:K,MATCH(A220,'gemini-3.1-flash-lite-preview'!A:A,0),$W$12))),"NOT FOUND")</f>
        <v>support</v>
      </c>
      <c r="D220" t="str" cm="1">
        <f t="array" ref="D220">IFERROR(LOWER(TRIM(INDEX('gpt-5.4-mini'!A:K,MATCH(A220,'gpt-5.4-mini'!A:A,0),$W$12))),"NOT FOUND")</f>
        <v>support</v>
      </c>
      <c r="E220" t="str" cm="1">
        <f t="array" ref="E220">IFERROR(LOWER(TRIM(INDEX('claude-sonnet-4-6'!A:K,MATCH(A220,'claude-sonnet-4-6'!A:A,0),$W$12))),"NOT FOUND")</f>
        <v>support</v>
      </c>
      <c r="F220" t="b">
        <f t="shared" si="19"/>
        <v>1</v>
      </c>
      <c r="G220" t="b">
        <f t="shared" si="20"/>
        <v>1</v>
      </c>
      <c r="H220" t="b">
        <f t="shared" si="21"/>
        <v>0</v>
      </c>
      <c r="I220" t="str">
        <f t="shared" si="22"/>
        <v>support</v>
      </c>
      <c r="J220" t="str">
        <f t="shared" si="23"/>
        <v/>
      </c>
    </row>
    <row r="221" spans="1:10" x14ac:dyDescent="0.2">
      <c r="A221">
        <f>'Hand Coded'!A221</f>
        <v>6588</v>
      </c>
      <c r="B221" t="str" cm="1">
        <f t="array" ref="B221">LOWER(TRIM(INDEX('Hand Coded'!A:G,ROW(),$W$11)))</f>
        <v>neutral</v>
      </c>
      <c r="C221" t="str" cm="1">
        <f t="array" ref="C221">IFERROR(LOWER(TRIM(INDEX('gemini-3.1-flash-lite-preview'!A:K,MATCH(A221,'gemini-3.1-flash-lite-preview'!A:A,0),$W$12))),"NOT FOUND")</f>
        <v>oppose</v>
      </c>
      <c r="D221" t="str" cm="1">
        <f t="array" ref="D221">IFERROR(LOWER(TRIM(INDEX('gpt-5.4-mini'!A:K,MATCH(A221,'gpt-5.4-mini'!A:A,0),$W$12))),"NOT FOUND")</f>
        <v>oppose</v>
      </c>
      <c r="E221" t="str" cm="1">
        <f t="array" ref="E221">IFERROR(LOWER(TRIM(INDEX('claude-sonnet-4-6'!A:K,MATCH(A221,'claude-sonnet-4-6'!A:A,0),$W$12))),"NOT FOUND")</f>
        <v>oppose</v>
      </c>
      <c r="F221" t="b">
        <f t="shared" si="19"/>
        <v>1</v>
      </c>
      <c r="G221" t="b">
        <f t="shared" si="20"/>
        <v>0</v>
      </c>
      <c r="H221" t="b">
        <f t="shared" si="21"/>
        <v>1</v>
      </c>
      <c r="I221" t="str">
        <f t="shared" si="22"/>
        <v>oppose</v>
      </c>
      <c r="J221" t="str">
        <f t="shared" si="23"/>
        <v>neutral → oppose</v>
      </c>
    </row>
    <row r="222" spans="1:10" x14ac:dyDescent="0.2">
      <c r="A222">
        <f>'Hand Coded'!A222</f>
        <v>6601</v>
      </c>
      <c r="B222" t="str" cm="1">
        <f t="array" ref="B222">LOWER(TRIM(INDEX('Hand Coded'!A:G,ROW(),$W$11)))</f>
        <v>neutral</v>
      </c>
      <c r="C222" t="str" cm="1">
        <f t="array" ref="C222">IFERROR(LOWER(TRIM(INDEX('gemini-3.1-flash-lite-preview'!A:K,MATCH(A222,'gemini-3.1-flash-lite-preview'!A:A,0),$W$12))),"NOT FOUND")</f>
        <v>support</v>
      </c>
      <c r="D222" t="str" cm="1">
        <f t="array" ref="D222">IFERROR(LOWER(TRIM(INDEX('gpt-5.4-mini'!A:K,MATCH(A222,'gpt-5.4-mini'!A:A,0),$W$12))),"NOT FOUND")</f>
        <v>support with changes</v>
      </c>
      <c r="E222" t="str" cm="1">
        <f t="array" ref="E222">IFERROR(LOWER(TRIM(INDEX('claude-sonnet-4-6'!A:K,MATCH(A222,'claude-sonnet-4-6'!A:A,0),$W$12))),"NOT FOUND")</f>
        <v>support</v>
      </c>
      <c r="F222" t="b">
        <f t="shared" si="19"/>
        <v>0</v>
      </c>
      <c r="G222" t="str">
        <f t="shared" si="20"/>
        <v>N/A</v>
      </c>
      <c r="H222" t="b">
        <f t="shared" si="21"/>
        <v>0</v>
      </c>
      <c r="I222" t="str">
        <f t="shared" si="22"/>
        <v>No consensus</v>
      </c>
      <c r="J222" t="str">
        <f t="shared" si="23"/>
        <v/>
      </c>
    </row>
    <row r="223" spans="1:10" x14ac:dyDescent="0.2">
      <c r="A223">
        <f>'Hand Coded'!A223</f>
        <v>6619</v>
      </c>
      <c r="B223" t="str" cm="1">
        <f t="array" ref="B223">LOWER(TRIM(INDEX('Hand Coded'!A:G,ROW(),$W$11)))</f>
        <v>support</v>
      </c>
      <c r="C223" t="str" cm="1">
        <f t="array" ref="C223">IFERROR(LOWER(TRIM(INDEX('gemini-3.1-flash-lite-preview'!A:K,MATCH(A223,'gemini-3.1-flash-lite-preview'!A:A,0),$W$12))),"NOT FOUND")</f>
        <v>support</v>
      </c>
      <c r="D223" t="str" cm="1">
        <f t="array" ref="D223">IFERROR(LOWER(TRIM(INDEX('gpt-5.4-mini'!A:K,MATCH(A223,'gpt-5.4-mini'!A:A,0),$W$12))),"NOT FOUND")</f>
        <v>support</v>
      </c>
      <c r="E223" t="str" cm="1">
        <f t="array" ref="E223">IFERROR(LOWER(TRIM(INDEX('claude-sonnet-4-6'!A:K,MATCH(A223,'claude-sonnet-4-6'!A:A,0),$W$12))),"NOT FOUND")</f>
        <v>support</v>
      </c>
      <c r="F223" t="b">
        <f t="shared" si="19"/>
        <v>1</v>
      </c>
      <c r="G223" t="b">
        <f t="shared" si="20"/>
        <v>1</v>
      </c>
      <c r="H223" t="b">
        <f t="shared" si="21"/>
        <v>0</v>
      </c>
      <c r="I223" t="str">
        <f t="shared" si="22"/>
        <v>support</v>
      </c>
      <c r="J223" t="str">
        <f t="shared" si="23"/>
        <v/>
      </c>
    </row>
    <row r="224" spans="1:10" x14ac:dyDescent="0.2">
      <c r="A224">
        <f>'Hand Coded'!A224</f>
        <v>6629</v>
      </c>
      <c r="B224" t="str" cm="1">
        <f t="array" ref="B224">LOWER(TRIM(INDEX('Hand Coded'!A:G,ROW(),$W$11)))</f>
        <v>support</v>
      </c>
      <c r="C224" t="str" cm="1">
        <f t="array" ref="C224">IFERROR(LOWER(TRIM(INDEX('gemini-3.1-flash-lite-preview'!A:K,MATCH(A224,'gemini-3.1-flash-lite-preview'!A:A,0),$W$12))),"NOT FOUND")</f>
        <v>support</v>
      </c>
      <c r="D224" t="str" cm="1">
        <f t="array" ref="D224">IFERROR(LOWER(TRIM(INDEX('gpt-5.4-mini'!A:K,MATCH(A224,'gpt-5.4-mini'!A:A,0),$W$12))),"NOT FOUND")</f>
        <v>support</v>
      </c>
      <c r="E224" t="str" cm="1">
        <f t="array" ref="E224">IFERROR(LOWER(TRIM(INDEX('claude-sonnet-4-6'!A:K,MATCH(A224,'claude-sonnet-4-6'!A:A,0),$W$12))),"NOT FOUND")</f>
        <v>support</v>
      </c>
      <c r="F224" t="b">
        <f t="shared" si="19"/>
        <v>1</v>
      </c>
      <c r="G224" t="b">
        <f t="shared" si="20"/>
        <v>1</v>
      </c>
      <c r="H224" t="b">
        <f t="shared" si="21"/>
        <v>0</v>
      </c>
      <c r="I224" t="str">
        <f t="shared" si="22"/>
        <v>support</v>
      </c>
      <c r="J224" t="str">
        <f t="shared" si="23"/>
        <v/>
      </c>
    </row>
    <row r="225" spans="1:10" x14ac:dyDescent="0.2">
      <c r="A225">
        <f>'Hand Coded'!A225</f>
        <v>6737</v>
      </c>
      <c r="B225" t="str" cm="1">
        <f t="array" ref="B225">LOWER(TRIM(INDEX('Hand Coded'!A:G,ROW(),$W$11)))</f>
        <v>oppose</v>
      </c>
      <c r="C225" t="str" cm="1">
        <f t="array" ref="C225">IFERROR(LOWER(TRIM(INDEX('gemini-3.1-flash-lite-preview'!A:K,MATCH(A225,'gemini-3.1-flash-lite-preview'!A:A,0),$W$12))),"NOT FOUND")</f>
        <v>oppose</v>
      </c>
      <c r="D225" t="str" cm="1">
        <f t="array" ref="D225">IFERROR(LOWER(TRIM(INDEX('gpt-5.4-mini'!A:K,MATCH(A225,'gpt-5.4-mini'!A:A,0),$W$12))),"NOT FOUND")</f>
        <v>oppose</v>
      </c>
      <c r="E225" t="str" cm="1">
        <f t="array" ref="E225">IFERROR(LOWER(TRIM(INDEX('claude-sonnet-4-6'!A:K,MATCH(A225,'claude-sonnet-4-6'!A:A,0),$W$12))),"NOT FOUND")</f>
        <v>oppose</v>
      </c>
      <c r="F225" t="b">
        <f t="shared" si="19"/>
        <v>1</v>
      </c>
      <c r="G225" t="b">
        <f t="shared" si="20"/>
        <v>1</v>
      </c>
      <c r="H225" t="b">
        <f t="shared" si="21"/>
        <v>0</v>
      </c>
      <c r="I225" t="str">
        <f t="shared" si="22"/>
        <v>oppose</v>
      </c>
      <c r="J225" t="str">
        <f t="shared" si="23"/>
        <v/>
      </c>
    </row>
    <row r="226" spans="1:10" x14ac:dyDescent="0.2">
      <c r="A226">
        <f>'Hand Coded'!A226</f>
        <v>6929</v>
      </c>
      <c r="B226" t="str" cm="1">
        <f t="array" ref="B226">LOWER(TRIM(INDEX('Hand Coded'!A:G,ROW(),$W$11)))</f>
        <v>oppose</v>
      </c>
      <c r="C226" t="str" cm="1">
        <f t="array" ref="C226">IFERROR(LOWER(TRIM(INDEX('gemini-3.1-flash-lite-preview'!A:K,MATCH(A226,'gemini-3.1-flash-lite-preview'!A:A,0),$W$12))),"NOT FOUND")</f>
        <v>support</v>
      </c>
      <c r="D226" t="str" cm="1">
        <f t="array" ref="D226">IFERROR(LOWER(TRIM(INDEX('gpt-5.4-mini'!A:K,MATCH(A226,'gpt-5.4-mini'!A:A,0),$W$12))),"NOT FOUND")</f>
        <v>support</v>
      </c>
      <c r="E226" t="str" cm="1">
        <f t="array" ref="E226">IFERROR(LOWER(TRIM(INDEX('claude-sonnet-4-6'!A:K,MATCH(A226,'claude-sonnet-4-6'!A:A,0),$W$12))),"NOT FOUND")</f>
        <v>support with changes</v>
      </c>
      <c r="F226" t="b">
        <f t="shared" si="19"/>
        <v>0</v>
      </c>
      <c r="G226" t="str">
        <f t="shared" si="20"/>
        <v>N/A</v>
      </c>
      <c r="H226" t="b">
        <f t="shared" si="21"/>
        <v>0</v>
      </c>
      <c r="I226" t="str">
        <f t="shared" si="22"/>
        <v>No consensus</v>
      </c>
      <c r="J226" t="str">
        <f t="shared" si="23"/>
        <v/>
      </c>
    </row>
    <row r="227" spans="1:10" x14ac:dyDescent="0.2">
      <c r="A227">
        <f>'Hand Coded'!A227</f>
        <v>6988</v>
      </c>
      <c r="B227" t="str" cm="1">
        <f t="array" ref="B227">LOWER(TRIM(INDEX('Hand Coded'!A:G,ROW(),$W$11)))</f>
        <v>support</v>
      </c>
      <c r="C227" t="str" cm="1">
        <f t="array" ref="C227">IFERROR(LOWER(TRIM(INDEX('gemini-3.1-flash-lite-preview'!A:K,MATCH(A227,'gemini-3.1-flash-lite-preview'!A:A,0),$W$12))),"NOT FOUND")</f>
        <v>oppose</v>
      </c>
      <c r="D227" t="str" cm="1">
        <f t="array" ref="D227">IFERROR(LOWER(TRIM(INDEX('gpt-5.4-mini'!A:K,MATCH(A227,'gpt-5.4-mini'!A:A,0),$W$12))),"NOT FOUND")</f>
        <v>oppose</v>
      </c>
      <c r="E227" t="str" cm="1">
        <f t="array" ref="E227">IFERROR(LOWER(TRIM(INDEX('claude-sonnet-4-6'!A:K,MATCH(A227,'claude-sonnet-4-6'!A:A,0),$W$12))),"NOT FOUND")</f>
        <v>oppose</v>
      </c>
      <c r="F227" t="b">
        <f t="shared" si="19"/>
        <v>1</v>
      </c>
      <c r="G227" t="b">
        <f t="shared" si="20"/>
        <v>0</v>
      </c>
      <c r="H227" t="b">
        <f t="shared" si="21"/>
        <v>1</v>
      </c>
      <c r="I227" t="str">
        <f t="shared" si="22"/>
        <v>oppose</v>
      </c>
      <c r="J227" t="str">
        <f t="shared" si="23"/>
        <v>support → oppose</v>
      </c>
    </row>
    <row r="228" spans="1:10" x14ac:dyDescent="0.2">
      <c r="A228">
        <f>'Hand Coded'!A228</f>
        <v>7256</v>
      </c>
      <c r="B228" t="str" cm="1">
        <f t="array" ref="B228">LOWER(TRIM(INDEX('Hand Coded'!A:G,ROW(),$W$11)))</f>
        <v>support</v>
      </c>
      <c r="C228" t="str" cm="1">
        <f t="array" ref="C228">IFERROR(LOWER(TRIM(INDEX('gemini-3.1-flash-lite-preview'!A:K,MATCH(A228,'gemini-3.1-flash-lite-preview'!A:A,0),$W$12))),"NOT FOUND")</f>
        <v>neutral</v>
      </c>
      <c r="D228" t="str" cm="1">
        <f t="array" ref="D228">IFERROR(LOWER(TRIM(INDEX('gpt-5.4-mini'!A:K,MATCH(A228,'gpt-5.4-mini'!A:A,0),$W$12))),"NOT FOUND")</f>
        <v>support with changes</v>
      </c>
      <c r="E228" t="str" cm="1">
        <f t="array" ref="E228">IFERROR(LOWER(TRIM(INDEX('claude-sonnet-4-6'!A:K,MATCH(A228,'claude-sonnet-4-6'!A:A,0),$W$12))),"NOT FOUND")</f>
        <v>neutral</v>
      </c>
      <c r="F228" t="b">
        <f t="shared" si="19"/>
        <v>0</v>
      </c>
      <c r="G228" t="str">
        <f t="shared" si="20"/>
        <v>N/A</v>
      </c>
      <c r="H228" t="b">
        <f t="shared" si="21"/>
        <v>0</v>
      </c>
      <c r="I228" t="str">
        <f t="shared" si="22"/>
        <v>No consensus</v>
      </c>
      <c r="J228" t="str">
        <f t="shared" si="23"/>
        <v/>
      </c>
    </row>
    <row r="229" spans="1:10" x14ac:dyDescent="0.2">
      <c r="A229">
        <f>'Hand Coded'!A229</f>
        <v>7264</v>
      </c>
      <c r="B229" t="str" cm="1">
        <f t="array" ref="B229">LOWER(TRIM(INDEX('Hand Coded'!A:G,ROW(),$W$11)))</f>
        <v>oppose</v>
      </c>
      <c r="C229" t="str" cm="1">
        <f t="array" ref="C229">IFERROR(LOWER(TRIM(INDEX('gemini-3.1-flash-lite-preview'!A:K,MATCH(A229,'gemini-3.1-flash-lite-preview'!A:A,0),$W$12))),"NOT FOUND")</f>
        <v>support with changes</v>
      </c>
      <c r="D229" t="str" cm="1">
        <f t="array" ref="D229">IFERROR(LOWER(TRIM(INDEX('gpt-5.4-mini'!A:K,MATCH(A229,'gpt-5.4-mini'!A:A,0),$W$12))),"NOT FOUND")</f>
        <v>support with changes</v>
      </c>
      <c r="E229" t="str" cm="1">
        <f t="array" ref="E229">IFERROR(LOWER(TRIM(INDEX('claude-sonnet-4-6'!A:K,MATCH(A229,'claude-sonnet-4-6'!A:A,0),$W$12))),"NOT FOUND")</f>
        <v>support with changes</v>
      </c>
      <c r="F229" t="b">
        <f t="shared" si="19"/>
        <v>1</v>
      </c>
      <c r="G229" t="b">
        <f t="shared" si="20"/>
        <v>0</v>
      </c>
      <c r="H229" t="b">
        <f t="shared" si="21"/>
        <v>1</v>
      </c>
      <c r="I229" t="str">
        <f t="shared" si="22"/>
        <v>support with changes</v>
      </c>
      <c r="J229" t="str">
        <f t="shared" si="23"/>
        <v>oppose → support with changes</v>
      </c>
    </row>
    <row r="230" spans="1:10" x14ac:dyDescent="0.2">
      <c r="A230">
        <f>'Hand Coded'!A230</f>
        <v>7289</v>
      </c>
      <c r="B230" t="str" cm="1">
        <f t="array" ref="B230">LOWER(TRIM(INDEX('Hand Coded'!A:G,ROW(),$W$11)))</f>
        <v>oppose</v>
      </c>
      <c r="C230" t="str" cm="1">
        <f t="array" ref="C230">IFERROR(LOWER(TRIM(INDEX('gemini-3.1-flash-lite-preview'!A:K,MATCH(A230,'gemini-3.1-flash-lite-preview'!A:A,0),$W$12))),"NOT FOUND")</f>
        <v>neutral</v>
      </c>
      <c r="D230" t="str" cm="1">
        <f t="array" ref="D230">IFERROR(LOWER(TRIM(INDEX('gpt-5.4-mini'!A:K,MATCH(A230,'gpt-5.4-mini'!A:A,0),$W$12))),"NOT FOUND")</f>
        <v>neutral</v>
      </c>
      <c r="E230" t="str" cm="1">
        <f t="array" ref="E230">IFERROR(LOWER(TRIM(INDEX('claude-sonnet-4-6'!A:K,MATCH(A230,'claude-sonnet-4-6'!A:A,0),$W$12))),"NOT FOUND")</f>
        <v>neutral</v>
      </c>
      <c r="F230" t="b">
        <f t="shared" si="19"/>
        <v>1</v>
      </c>
      <c r="G230" t="b">
        <f t="shared" si="20"/>
        <v>0</v>
      </c>
      <c r="H230" t="b">
        <f t="shared" si="21"/>
        <v>1</v>
      </c>
      <c r="I230" t="str">
        <f t="shared" si="22"/>
        <v>neutral</v>
      </c>
      <c r="J230" t="str">
        <f t="shared" si="23"/>
        <v>oppose → neutral</v>
      </c>
    </row>
    <row r="231" spans="1:10" x14ac:dyDescent="0.2">
      <c r="A231">
        <f>'Hand Coded'!A231</f>
        <v>7316</v>
      </c>
      <c r="B231" t="str" cm="1">
        <f t="array" ref="B231">LOWER(TRIM(INDEX('Hand Coded'!A:G,ROW(),$W$11)))</f>
        <v>oppose</v>
      </c>
      <c r="C231" t="str" cm="1">
        <f t="array" ref="C231">IFERROR(LOWER(TRIM(INDEX('gemini-3.1-flash-lite-preview'!A:K,MATCH(A231,'gemini-3.1-flash-lite-preview'!A:A,0),$W$12))),"NOT FOUND")</f>
        <v>oppose</v>
      </c>
      <c r="D231" t="str" cm="1">
        <f t="array" ref="D231">IFERROR(LOWER(TRIM(INDEX('gpt-5.4-mini'!A:K,MATCH(A231,'gpt-5.4-mini'!A:A,0),$W$12))),"NOT FOUND")</f>
        <v>oppose</v>
      </c>
      <c r="E231" t="str" cm="1">
        <f t="array" ref="E231">IFERROR(LOWER(TRIM(INDEX('claude-sonnet-4-6'!A:K,MATCH(A231,'claude-sonnet-4-6'!A:A,0),$W$12))),"NOT FOUND")</f>
        <v>oppose</v>
      </c>
      <c r="F231" t="b">
        <f t="shared" si="19"/>
        <v>1</v>
      </c>
      <c r="G231" t="b">
        <f t="shared" si="20"/>
        <v>1</v>
      </c>
      <c r="H231" t="b">
        <f t="shared" si="21"/>
        <v>0</v>
      </c>
      <c r="I231" t="str">
        <f t="shared" si="22"/>
        <v>oppose</v>
      </c>
      <c r="J231" t="str">
        <f t="shared" si="23"/>
        <v/>
      </c>
    </row>
    <row r="232" spans="1:10" x14ac:dyDescent="0.2">
      <c r="A232">
        <f>'Hand Coded'!A232</f>
        <v>6955</v>
      </c>
      <c r="B232" t="str" cm="1">
        <f t="array" ref="B232">LOWER(TRIM(INDEX('Hand Coded'!A:G,ROW(),$W$11)))</f>
        <v>oppose</v>
      </c>
      <c r="C232" t="str" cm="1">
        <f t="array" ref="C232">IFERROR(LOWER(TRIM(INDEX('gemini-3.1-flash-lite-preview'!A:K,MATCH(A232,'gemini-3.1-flash-lite-preview'!A:A,0),$W$12))),"NOT FOUND")</f>
        <v>oppose</v>
      </c>
      <c r="D232" t="str" cm="1">
        <f t="array" ref="D232">IFERROR(LOWER(TRIM(INDEX('gpt-5.4-mini'!A:K,MATCH(A232,'gpt-5.4-mini'!A:A,0),$W$12))),"NOT FOUND")</f>
        <v>oppose</v>
      </c>
      <c r="E232" t="str" cm="1">
        <f t="array" ref="E232">IFERROR(LOWER(TRIM(INDEX('claude-sonnet-4-6'!A:K,MATCH(A232,'claude-sonnet-4-6'!A:A,0),$W$12))),"NOT FOUND")</f>
        <v>oppose</v>
      </c>
      <c r="F232" t="b">
        <f t="shared" si="19"/>
        <v>1</v>
      </c>
      <c r="G232" t="b">
        <f t="shared" si="20"/>
        <v>1</v>
      </c>
      <c r="H232" t="b">
        <f t="shared" si="21"/>
        <v>0</v>
      </c>
      <c r="I232" t="str">
        <f t="shared" si="22"/>
        <v>oppose</v>
      </c>
      <c r="J232" t="str">
        <f t="shared" si="23"/>
        <v/>
      </c>
    </row>
    <row r="233" spans="1:10" x14ac:dyDescent="0.2">
      <c r="A233">
        <f>'Hand Coded'!A233</f>
        <v>4746</v>
      </c>
      <c r="B233" t="str" cm="1">
        <f t="array" ref="B233">LOWER(TRIM(INDEX('Hand Coded'!A:G,ROW(),$W$11)))</f>
        <v>support</v>
      </c>
      <c r="C233" t="str" cm="1">
        <f t="array" ref="C233">IFERROR(LOWER(TRIM(INDEX('gemini-3.1-flash-lite-preview'!A:K,MATCH(A233,'gemini-3.1-flash-lite-preview'!A:A,0),$W$12))),"NOT FOUND")</f>
        <v>support</v>
      </c>
      <c r="D233" t="str" cm="1">
        <f t="array" ref="D233">IFERROR(LOWER(TRIM(INDEX('gpt-5.4-mini'!A:K,MATCH(A233,'gpt-5.4-mini'!A:A,0),$W$12))),"NOT FOUND")</f>
        <v>support</v>
      </c>
      <c r="E233" t="str" cm="1">
        <f t="array" ref="E233">IFERROR(LOWER(TRIM(INDEX('claude-sonnet-4-6'!A:K,MATCH(A233,'claude-sonnet-4-6'!A:A,0),$W$12))),"NOT FOUND")</f>
        <v>support</v>
      </c>
      <c r="F233" t="b">
        <f t="shared" si="19"/>
        <v>1</v>
      </c>
      <c r="G233" t="b">
        <f t="shared" si="20"/>
        <v>1</v>
      </c>
      <c r="H233" t="b">
        <f t="shared" si="21"/>
        <v>0</v>
      </c>
      <c r="I233" t="str">
        <f t="shared" si="22"/>
        <v>support</v>
      </c>
      <c r="J233" t="str">
        <f t="shared" si="23"/>
        <v/>
      </c>
    </row>
    <row r="234" spans="1:10" x14ac:dyDescent="0.2">
      <c r="A234">
        <f>'Hand Coded'!A234</f>
        <v>1485</v>
      </c>
      <c r="B234" t="str" cm="1">
        <f t="array" ref="B234">LOWER(TRIM(INDEX('Hand Coded'!A:G,ROW(),$W$11)))</f>
        <v>oppose</v>
      </c>
      <c r="C234" t="str" cm="1">
        <f t="array" ref="C234">IFERROR(LOWER(TRIM(INDEX('gemini-3.1-flash-lite-preview'!A:K,MATCH(A234,'gemini-3.1-flash-lite-preview'!A:A,0),$W$12))),"NOT FOUND")</f>
        <v>oppose</v>
      </c>
      <c r="D234" t="str" cm="1">
        <f t="array" ref="D234">IFERROR(LOWER(TRIM(INDEX('gpt-5.4-mini'!A:K,MATCH(A234,'gpt-5.4-mini'!A:A,0),$W$12))),"NOT FOUND")</f>
        <v>oppose</v>
      </c>
      <c r="E234" t="str" cm="1">
        <f t="array" ref="E234">IFERROR(LOWER(TRIM(INDEX('claude-sonnet-4-6'!A:K,MATCH(A234,'claude-sonnet-4-6'!A:A,0),$W$12))),"NOT FOUND")</f>
        <v>oppose</v>
      </c>
      <c r="F234" t="b">
        <f t="shared" si="19"/>
        <v>1</v>
      </c>
      <c r="G234" t="b">
        <f t="shared" si="20"/>
        <v>1</v>
      </c>
      <c r="H234" t="b">
        <f t="shared" si="21"/>
        <v>0</v>
      </c>
      <c r="I234" t="str">
        <f t="shared" si="22"/>
        <v>oppose</v>
      </c>
      <c r="J234" t="str">
        <f t="shared" si="23"/>
        <v/>
      </c>
    </row>
    <row r="235" spans="1:10" x14ac:dyDescent="0.2">
      <c r="A235">
        <f>'Hand Coded'!A235</f>
        <v>9768</v>
      </c>
      <c r="B235" t="str" cm="1">
        <f t="array" ref="B235">LOWER(TRIM(INDEX('Hand Coded'!A:G,ROW(),$W$11)))</f>
        <v>oppose</v>
      </c>
      <c r="C235" t="str" cm="1">
        <f t="array" ref="C235">IFERROR(LOWER(TRIM(INDEX('gemini-3.1-flash-lite-preview'!A:K,MATCH(A235,'gemini-3.1-flash-lite-preview'!A:A,0),$W$12))),"NOT FOUND")</f>
        <v>oppose</v>
      </c>
      <c r="D235" t="str" cm="1">
        <f t="array" ref="D235">IFERROR(LOWER(TRIM(INDEX('gpt-5.4-mini'!A:K,MATCH(A235,'gpt-5.4-mini'!A:A,0),$W$12))),"NOT FOUND")</f>
        <v>oppose</v>
      </c>
      <c r="E235" t="str" cm="1">
        <f t="array" ref="E235">IFERROR(LOWER(TRIM(INDEX('claude-sonnet-4-6'!A:K,MATCH(A235,'claude-sonnet-4-6'!A:A,0),$W$12))),"NOT FOUND")</f>
        <v>oppose</v>
      </c>
      <c r="F235" t="b">
        <f t="shared" si="19"/>
        <v>1</v>
      </c>
      <c r="G235" t="b">
        <f t="shared" si="20"/>
        <v>1</v>
      </c>
      <c r="H235" t="b">
        <f t="shared" si="21"/>
        <v>0</v>
      </c>
      <c r="I235" t="str">
        <f t="shared" si="22"/>
        <v>oppose</v>
      </c>
      <c r="J235" t="str">
        <f t="shared" si="23"/>
        <v/>
      </c>
    </row>
  </sheetData>
  <autoFilter ref="A1:N235" xr:uid="{75BAB580-C27B-5B4F-AF5E-54C396A2A3A3}"/>
  <conditionalFormatting sqref="F2:F235">
    <cfRule type="cellIs" dxfId="2" priority="5" operator="equal">
      <formula>FALSE</formula>
    </cfRule>
  </conditionalFormatting>
  <conditionalFormatting sqref="H2:H235">
    <cfRule type="cellIs" dxfId="1" priority="1" operator="equal">
      <formula>TRUE</formula>
    </cfRule>
  </conditionalFormatting>
  <conditionalFormatting sqref="S21:S24">
    <cfRule type="cellIs" dxfId="0" priority="6" operator="lessThan">
      <formula>0</formula>
    </cfRule>
  </conditionalFormatting>
  <dataValidations count="1">
    <dataValidation type="list" allowBlank="1" showInputMessage="1" showErrorMessage="1" sqref="V2" xr:uid="{095EC745-8AA4-AF49-AD97-7D4A9BCA178C}">
      <formula1>"Sentiment (llm_support_label),Feedback Theme,Project Type,Commenter Type,Project State,Project Region"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4005-0E72-E944-910B-C0B8E2543419}">
  <dimension ref="A1:D83"/>
  <sheetViews>
    <sheetView topLeftCell="A48" workbookViewId="0"/>
  </sheetViews>
  <sheetFormatPr baseColWidth="10" defaultRowHeight="15" x14ac:dyDescent="0.2"/>
  <cols>
    <col min="1" max="1" width="28" bestFit="1" customWidth="1"/>
    <col min="2" max="2" width="13.6640625" bestFit="1" customWidth="1"/>
    <col min="3" max="3" width="26.6640625" bestFit="1" customWidth="1"/>
    <col min="4" max="4" width="8.5" bestFit="1" customWidth="1"/>
  </cols>
  <sheetData>
    <row r="1" spans="1:4" ht="17" x14ac:dyDescent="0.2">
      <c r="A1" s="9" t="s">
        <v>11</v>
      </c>
    </row>
    <row r="2" spans="1:4" x14ac:dyDescent="0.2">
      <c r="A2" s="10" t="s">
        <v>462</v>
      </c>
      <c r="B2" s="20" t="s">
        <v>434</v>
      </c>
      <c r="C2" s="20" t="s">
        <v>435</v>
      </c>
      <c r="D2" s="21" t="s">
        <v>436</v>
      </c>
    </row>
    <row r="3" spans="1:4" x14ac:dyDescent="0.2">
      <c r="A3" s="11" t="s">
        <v>47</v>
      </c>
      <c r="B3" s="14" cm="1">
        <f t="array" ref="B3">SUMPRODUCT(('Hand Coded'!C$2:C$10000=A3)*(LOWER('Hand Coded'!C$2:C$10000)=LOWER(IFERROR(INDEX('gemini-3.1-flash-lite-preview'!K:K,MATCH('Hand Coded'!A$2:A$10000,'gemini-3.1-flash-lite-preview'!A:A,0)),""))))</f>
        <v>0</v>
      </c>
      <c r="C3" s="14">
        <f>COUNTIF('Hand Coded'!C:C,A3)</f>
        <v>1</v>
      </c>
      <c r="D3" s="15">
        <f t="shared" ref="D3:D27" si="0">IF(C3=0,"",B3/C3)</f>
        <v>0</v>
      </c>
    </row>
    <row r="4" spans="1:4" x14ac:dyDescent="0.2">
      <c r="A4" s="11" t="s">
        <v>407</v>
      </c>
      <c r="B4" s="14" cm="1">
        <f t="array" ref="B4">SUMPRODUCT(('Hand Coded'!C$2:C$10000=A4)*(LOWER('Hand Coded'!C$2:C$10000)=LOWER(IFERROR(INDEX('gemini-3.1-flash-lite-preview'!K:K,MATCH('Hand Coded'!A$2:A$10000,'gemini-3.1-flash-lite-preview'!A:A,0)),""))))</f>
        <v>0</v>
      </c>
      <c r="C4" s="14">
        <f>COUNTIF('Hand Coded'!C:C,A4)</f>
        <v>0</v>
      </c>
      <c r="D4" s="15" t="str">
        <f t="shared" si="0"/>
        <v/>
      </c>
    </row>
    <row r="5" spans="1:4" x14ac:dyDescent="0.2">
      <c r="A5" s="11" t="s">
        <v>39</v>
      </c>
      <c r="B5" s="14" cm="1">
        <f t="array" ref="B5">SUMPRODUCT(('Hand Coded'!C$2:C$10000=A5)*(LOWER('Hand Coded'!C$2:C$10000)=LOWER(IFERROR(INDEX('gemini-3.1-flash-lite-preview'!K:K,MATCH('Hand Coded'!A$2:A$10000,'gemini-3.1-flash-lite-preview'!A:A,0)),""))))</f>
        <v>2</v>
      </c>
      <c r="C5" s="14">
        <f>COUNTIF('Hand Coded'!C:C,A5)</f>
        <v>4</v>
      </c>
      <c r="D5" s="15">
        <f t="shared" si="0"/>
        <v>0.5</v>
      </c>
    </row>
    <row r="6" spans="1:4" x14ac:dyDescent="0.2">
      <c r="A6" s="11" t="s">
        <v>398</v>
      </c>
      <c r="B6" s="14" cm="1">
        <f t="array" ref="B6">SUMPRODUCT(('Hand Coded'!C$2:C$10000=A6)*(LOWER('Hand Coded'!C$2:C$10000)=LOWER(IFERROR(INDEX('gemini-3.1-flash-lite-preview'!K:K,MATCH('Hand Coded'!A$2:A$10000,'gemini-3.1-flash-lite-preview'!A:A,0)),""))))</f>
        <v>0</v>
      </c>
      <c r="C6" s="14">
        <f>COUNTIF('Hand Coded'!C:C,A6)</f>
        <v>0</v>
      </c>
      <c r="D6" s="15" t="str">
        <f t="shared" si="0"/>
        <v/>
      </c>
    </row>
    <row r="7" spans="1:4" x14ac:dyDescent="0.2">
      <c r="A7" s="11" t="s">
        <v>33</v>
      </c>
      <c r="B7" s="14" cm="1">
        <f t="array" ref="B7">SUMPRODUCT(('Hand Coded'!C$2:C$10000=A7)*(LOWER('Hand Coded'!C$2:C$10000)=LOWER(IFERROR(INDEX('gemini-3.1-flash-lite-preview'!K:K,MATCH('Hand Coded'!A$2:A$10000,'gemini-3.1-flash-lite-preview'!A:A,0)),""))))</f>
        <v>24</v>
      </c>
      <c r="C7" s="14">
        <f>COUNTIF('Hand Coded'!C:C,A7)</f>
        <v>32</v>
      </c>
      <c r="D7" s="15">
        <f t="shared" si="0"/>
        <v>0.75</v>
      </c>
    </row>
    <row r="8" spans="1:4" x14ac:dyDescent="0.2">
      <c r="A8" s="11" t="s">
        <v>396</v>
      </c>
      <c r="B8" s="14" cm="1">
        <f t="array" ref="B8">SUMPRODUCT(('Hand Coded'!C$2:C$10000=A8)*(LOWER('Hand Coded'!C$2:C$10000)=LOWER(IFERROR(INDEX('gemini-3.1-flash-lite-preview'!K:K,MATCH('Hand Coded'!A$2:A$10000,'gemini-3.1-flash-lite-preview'!A:A,0)),""))))</f>
        <v>0</v>
      </c>
      <c r="C8" s="14">
        <f>COUNTIF('Hand Coded'!C:C,A8)</f>
        <v>0</v>
      </c>
      <c r="D8" s="15" t="str">
        <f t="shared" si="0"/>
        <v/>
      </c>
    </row>
    <row r="9" spans="1:4" x14ac:dyDescent="0.2">
      <c r="A9" s="11" t="s">
        <v>418</v>
      </c>
      <c r="B9" s="14" cm="1">
        <f t="array" ref="B9">SUMPRODUCT(('Hand Coded'!C$2:C$10000=A9)*(LOWER('Hand Coded'!C$2:C$10000)=LOWER(IFERROR(INDEX('gemini-3.1-flash-lite-preview'!K:K,MATCH('Hand Coded'!A$2:A$10000,'gemini-3.1-flash-lite-preview'!A:A,0)),""))))</f>
        <v>0</v>
      </c>
      <c r="C9" s="14">
        <f>COUNTIF('Hand Coded'!C:C,A9)</f>
        <v>0</v>
      </c>
      <c r="D9" s="15" t="str">
        <f t="shared" si="0"/>
        <v/>
      </c>
    </row>
    <row r="10" spans="1:4" x14ac:dyDescent="0.2">
      <c r="A10" s="11" t="s">
        <v>393</v>
      </c>
      <c r="B10" s="14" cm="1">
        <f t="array" ref="B10">SUMPRODUCT(('Hand Coded'!C$2:C$10000=A10)*(LOWER('Hand Coded'!C$2:C$10000)=LOWER(IFERROR(INDEX('gemini-3.1-flash-lite-preview'!K:K,MATCH('Hand Coded'!A$2:A$10000,'gemini-3.1-flash-lite-preview'!A:A,0)),""))))</f>
        <v>0</v>
      </c>
      <c r="C10" s="14">
        <f>COUNTIF('Hand Coded'!C:C,A10)</f>
        <v>0</v>
      </c>
      <c r="D10" s="15" t="str">
        <f t="shared" si="0"/>
        <v/>
      </c>
    </row>
    <row r="11" spans="1:4" x14ac:dyDescent="0.2">
      <c r="A11" s="11" t="s">
        <v>148</v>
      </c>
      <c r="B11" s="14" cm="1">
        <f t="array" ref="B11">SUMPRODUCT(('Hand Coded'!C$2:C$10000=A11)*(LOWER('Hand Coded'!C$2:C$10000)=LOWER(IFERROR(INDEX('gemini-3.1-flash-lite-preview'!K:K,MATCH('Hand Coded'!A$2:A$10000,'gemini-3.1-flash-lite-preview'!A:A,0)),""))))</f>
        <v>0</v>
      </c>
      <c r="C11" s="14">
        <f>COUNTIF('Hand Coded'!C:C,A11)</f>
        <v>19</v>
      </c>
      <c r="D11" s="15">
        <f t="shared" si="0"/>
        <v>0</v>
      </c>
    </row>
    <row r="12" spans="1:4" x14ac:dyDescent="0.2">
      <c r="A12" s="11" t="s">
        <v>405</v>
      </c>
      <c r="B12" s="14" cm="1">
        <f t="array" ref="B12">SUMPRODUCT(('Hand Coded'!C$2:C$10000=A12)*(LOWER('Hand Coded'!C$2:C$10000)=LOWER(IFERROR(INDEX('gemini-3.1-flash-lite-preview'!K:K,MATCH('Hand Coded'!A$2:A$10000,'gemini-3.1-flash-lite-preview'!A:A,0)),""))))</f>
        <v>0</v>
      </c>
      <c r="C12" s="14">
        <f>COUNTIF('Hand Coded'!C:C,A12)</f>
        <v>0</v>
      </c>
      <c r="D12" s="15" t="str">
        <f t="shared" si="0"/>
        <v/>
      </c>
    </row>
    <row r="13" spans="1:4" x14ac:dyDescent="0.2">
      <c r="A13" s="11" t="s">
        <v>417</v>
      </c>
      <c r="B13" s="14" cm="1">
        <f t="array" ref="B13">SUMPRODUCT(('Hand Coded'!C$2:C$10000=A13)*(LOWER('Hand Coded'!C$2:C$10000)=LOWER(IFERROR(INDEX('gemini-3.1-flash-lite-preview'!K:K,MATCH('Hand Coded'!A$2:A$10000,'gemini-3.1-flash-lite-preview'!A:A,0)),""))))</f>
        <v>0</v>
      </c>
      <c r="C13" s="14">
        <f>COUNTIF('Hand Coded'!C:C,A13)</f>
        <v>0</v>
      </c>
      <c r="D13" s="15" t="str">
        <f t="shared" si="0"/>
        <v/>
      </c>
    </row>
    <row r="14" spans="1:4" x14ac:dyDescent="0.2">
      <c r="A14" s="11" t="s">
        <v>416</v>
      </c>
      <c r="B14" s="14" cm="1">
        <f t="array" ref="B14">SUMPRODUCT(('Hand Coded'!C$2:C$10000=A14)*(LOWER('Hand Coded'!C$2:C$10000)=LOWER(IFERROR(INDEX('gemini-3.1-flash-lite-preview'!K:K,MATCH('Hand Coded'!A$2:A$10000,'gemini-3.1-flash-lite-preview'!A:A,0)),""))))</f>
        <v>0</v>
      </c>
      <c r="C14" s="14">
        <f>COUNTIF('Hand Coded'!C:C,A14)</f>
        <v>4</v>
      </c>
      <c r="D14" s="15">
        <f t="shared" si="0"/>
        <v>0</v>
      </c>
    </row>
    <row r="15" spans="1:4" x14ac:dyDescent="0.2">
      <c r="A15" s="11" t="s">
        <v>55</v>
      </c>
      <c r="B15" s="14" cm="1">
        <f t="array" ref="B15">SUMPRODUCT(('Hand Coded'!C$2:C$10000=A15)*(LOWER('Hand Coded'!C$2:C$10000)=LOWER(IFERROR(INDEX('gemini-3.1-flash-lite-preview'!K:K,MATCH('Hand Coded'!A$2:A$10000,'gemini-3.1-flash-lite-preview'!A:A,0)),""))))</f>
        <v>1</v>
      </c>
      <c r="C15" s="14">
        <f>COUNTIF('Hand Coded'!C:C,A15)</f>
        <v>19</v>
      </c>
      <c r="D15" s="15">
        <f t="shared" si="0"/>
        <v>5.2631578947368418E-2</v>
      </c>
    </row>
    <row r="16" spans="1:4" x14ac:dyDescent="0.2">
      <c r="A16" s="11" t="s">
        <v>83</v>
      </c>
      <c r="B16" s="14" cm="1">
        <f t="array" ref="B16">SUMPRODUCT(('Hand Coded'!C$2:C$10000=A16)*(LOWER('Hand Coded'!C$2:C$10000)=LOWER(IFERROR(INDEX('gemini-3.1-flash-lite-preview'!K:K,MATCH('Hand Coded'!A$2:A$10000,'gemini-3.1-flash-lite-preview'!A:A,0)),""))))</f>
        <v>4</v>
      </c>
      <c r="C16" s="14">
        <f>COUNTIF('Hand Coded'!C:C,A16)</f>
        <v>12</v>
      </c>
      <c r="D16" s="15">
        <f t="shared" si="0"/>
        <v>0.33333333333333331</v>
      </c>
    </row>
    <row r="17" spans="1:4" x14ac:dyDescent="0.2">
      <c r="A17" s="11" t="s">
        <v>388</v>
      </c>
      <c r="B17" s="14" cm="1">
        <f t="array" ref="B17">SUMPRODUCT(('Hand Coded'!C$2:C$10000=A17)*(LOWER('Hand Coded'!C$2:C$10000)=LOWER(IFERROR(INDEX('gemini-3.1-flash-lite-preview'!K:K,MATCH('Hand Coded'!A$2:A$10000,'gemini-3.1-flash-lite-preview'!A:A,0)),""))))</f>
        <v>0</v>
      </c>
      <c r="C17" s="14">
        <f>COUNTIF('Hand Coded'!C:C,A17)</f>
        <v>0</v>
      </c>
      <c r="D17" s="15" t="str">
        <f t="shared" si="0"/>
        <v/>
      </c>
    </row>
    <row r="18" spans="1:4" x14ac:dyDescent="0.2">
      <c r="A18" s="11" t="s">
        <v>17</v>
      </c>
      <c r="B18" s="14" cm="1">
        <f t="array" ref="B18">SUMPRODUCT(('Hand Coded'!C$2:C$10000=A18)*(LOWER('Hand Coded'!C$2:C$10000)=LOWER(IFERROR(INDEX('gemini-3.1-flash-lite-preview'!K:K,MATCH('Hand Coded'!A$2:A$10000,'gemini-3.1-flash-lite-preview'!A:A,0)),""))))</f>
        <v>38</v>
      </c>
      <c r="C18" s="14">
        <f>COUNTIF('Hand Coded'!C:C,A18)</f>
        <v>53</v>
      </c>
      <c r="D18" s="15">
        <f t="shared" si="0"/>
        <v>0.71698113207547165</v>
      </c>
    </row>
    <row r="19" spans="1:4" x14ac:dyDescent="0.2">
      <c r="A19" s="11" t="s">
        <v>54</v>
      </c>
      <c r="B19" s="14" cm="1">
        <f t="array" ref="B19">SUMPRODUCT(('Hand Coded'!C$2:C$10000=A19)*(LOWER('Hand Coded'!C$2:C$10000)=LOWER(IFERROR(INDEX('gemini-3.1-flash-lite-preview'!K:K,MATCH('Hand Coded'!A$2:A$10000,'gemini-3.1-flash-lite-preview'!A:A,0)),""))))</f>
        <v>3</v>
      </c>
      <c r="C19" s="14">
        <f>COUNTIF('Hand Coded'!C:C,A19)</f>
        <v>5</v>
      </c>
      <c r="D19" s="15">
        <f t="shared" si="0"/>
        <v>0.6</v>
      </c>
    </row>
    <row r="20" spans="1:4" x14ac:dyDescent="0.2">
      <c r="A20" s="11" t="s">
        <v>408</v>
      </c>
      <c r="B20" s="14" cm="1">
        <f t="array" ref="B20">SUMPRODUCT(('Hand Coded'!C$2:C$10000=A20)*(LOWER('Hand Coded'!C$2:C$10000)=LOWER(IFERROR(INDEX('gemini-3.1-flash-lite-preview'!K:K,MATCH('Hand Coded'!A$2:A$10000,'gemini-3.1-flash-lite-preview'!A:A,0)),""))))</f>
        <v>0</v>
      </c>
      <c r="C20" s="14">
        <f>COUNTIF('Hand Coded'!C:C,A20)</f>
        <v>0</v>
      </c>
      <c r="D20" s="15" t="str">
        <f t="shared" si="0"/>
        <v/>
      </c>
    </row>
    <row r="21" spans="1:4" x14ac:dyDescent="0.2">
      <c r="A21" s="11" t="s">
        <v>426</v>
      </c>
      <c r="B21" s="14" cm="1">
        <f t="array" ref="B21">SUMPRODUCT(('Hand Coded'!C$2:C$10000=A21)*(LOWER('Hand Coded'!C$2:C$10000)=LOWER(IFERROR(INDEX('gemini-3.1-flash-lite-preview'!K:K,MATCH('Hand Coded'!A$2:A$10000,'gemini-3.1-flash-lite-preview'!A:A,0)),""))))</f>
        <v>0</v>
      </c>
      <c r="C21" s="14">
        <f>COUNTIF('Hand Coded'!C:C,A21)</f>
        <v>0</v>
      </c>
      <c r="D21" s="15" t="str">
        <f t="shared" si="0"/>
        <v/>
      </c>
    </row>
    <row r="22" spans="1:4" x14ac:dyDescent="0.2">
      <c r="A22" s="11" t="s">
        <v>424</v>
      </c>
      <c r="B22" s="14" cm="1">
        <f t="array" ref="B22">SUMPRODUCT(('Hand Coded'!C$2:C$10000=A22)*(LOWER('Hand Coded'!C$2:C$10000)=LOWER(IFERROR(INDEX('gemini-3.1-flash-lite-preview'!K:K,MATCH('Hand Coded'!A$2:A$10000,'gemini-3.1-flash-lite-preview'!A:A,0)),""))))</f>
        <v>0</v>
      </c>
      <c r="C22" s="14">
        <f>COUNTIF('Hand Coded'!C:C,A22)</f>
        <v>0</v>
      </c>
      <c r="D22" s="15" t="str">
        <f t="shared" si="0"/>
        <v/>
      </c>
    </row>
    <row r="23" spans="1:4" x14ac:dyDescent="0.2">
      <c r="A23" s="11" t="s">
        <v>63</v>
      </c>
      <c r="B23" s="14" cm="1">
        <f t="array" ref="B23">SUMPRODUCT(('Hand Coded'!C$2:C$10000=A23)*(LOWER('Hand Coded'!C$2:C$10000)=LOWER(IFERROR(INDEX('gemini-3.1-flash-lite-preview'!K:K,MATCH('Hand Coded'!A$2:A$10000,'gemini-3.1-flash-lite-preview'!A:A,0)),""))))</f>
        <v>3</v>
      </c>
      <c r="C23" s="14">
        <f>COUNTIF('Hand Coded'!C:C,A23)</f>
        <v>8</v>
      </c>
      <c r="D23" s="15">
        <f t="shared" si="0"/>
        <v>0.375</v>
      </c>
    </row>
    <row r="24" spans="1:4" x14ac:dyDescent="0.2">
      <c r="A24" s="11" t="s">
        <v>395</v>
      </c>
      <c r="B24" s="14" cm="1">
        <f t="array" ref="B24">SUMPRODUCT(('Hand Coded'!C$2:C$10000=A24)*(LOWER('Hand Coded'!C$2:C$10000)=LOWER(IFERROR(INDEX('gemini-3.1-flash-lite-preview'!K:K,MATCH('Hand Coded'!A$2:A$10000,'gemini-3.1-flash-lite-preview'!A:A,0)),""))))</f>
        <v>0</v>
      </c>
      <c r="C24" s="14">
        <f>COUNTIF('Hand Coded'!C:C,A24)</f>
        <v>0</v>
      </c>
      <c r="D24" s="15" t="str">
        <f t="shared" si="0"/>
        <v/>
      </c>
    </row>
    <row r="25" spans="1:4" x14ac:dyDescent="0.2">
      <c r="A25" s="11" t="s">
        <v>26</v>
      </c>
      <c r="B25" s="14" cm="1">
        <f t="array" ref="B25">SUMPRODUCT(('Hand Coded'!C$2:C$10000=A25)*(LOWER('Hand Coded'!C$2:C$10000)=LOWER(IFERROR(INDEX('gemini-3.1-flash-lite-preview'!K:K,MATCH('Hand Coded'!A$2:A$10000,'gemini-3.1-flash-lite-preview'!A:A,0)),""))))</f>
        <v>6</v>
      </c>
      <c r="C25" s="14">
        <f>COUNTIF('Hand Coded'!C:C,A25)</f>
        <v>11</v>
      </c>
      <c r="D25" s="15">
        <f t="shared" si="0"/>
        <v>0.54545454545454541</v>
      </c>
    </row>
    <row r="26" spans="1:4" ht="16" thickBot="1" x14ac:dyDescent="0.25">
      <c r="A26" s="12" t="s">
        <v>37</v>
      </c>
      <c r="B26" s="16" cm="1">
        <f t="array" ref="B26">SUMPRODUCT(('Hand Coded'!C$2:C$10000=A26)*(LOWER('Hand Coded'!C$2:C$10000)=LOWER(IFERROR(INDEX('gemini-3.1-flash-lite-preview'!K:K,MATCH('Hand Coded'!A$2:A$10000,'gemini-3.1-flash-lite-preview'!A:A,0)),""))))</f>
        <v>37</v>
      </c>
      <c r="C26" s="16">
        <f>COUNTIF('Hand Coded'!C:C,A26)</f>
        <v>64</v>
      </c>
      <c r="D26" s="17">
        <f t="shared" si="0"/>
        <v>0.578125</v>
      </c>
    </row>
    <row r="27" spans="1:4" x14ac:dyDescent="0.2">
      <c r="A27" s="13" t="s">
        <v>437</v>
      </c>
      <c r="B27" s="18">
        <f>SUM(B3:B26)</f>
        <v>118</v>
      </c>
      <c r="C27" s="18">
        <f>SUM(C3:C26)</f>
        <v>232</v>
      </c>
      <c r="D27" s="19">
        <f t="shared" si="0"/>
        <v>0.50862068965517238</v>
      </c>
    </row>
    <row r="29" spans="1:4" ht="17" x14ac:dyDescent="0.2">
      <c r="A29" s="9" t="s">
        <v>144</v>
      </c>
    </row>
    <row r="30" spans="1:4" x14ac:dyDescent="0.2">
      <c r="A30" s="10" t="s">
        <v>462</v>
      </c>
      <c r="B30" s="20" t="s">
        <v>434</v>
      </c>
      <c r="C30" s="20" t="s">
        <v>435</v>
      </c>
      <c r="D30" s="21" t="s">
        <v>436</v>
      </c>
    </row>
    <row r="31" spans="1:4" x14ac:dyDescent="0.2">
      <c r="A31" s="11" t="s">
        <v>47</v>
      </c>
      <c r="B31" s="14" cm="1">
        <f t="array" ref="B31">SUMPRODUCT(('Hand Coded'!C$2:C$10000=A31)*(LOWER('Hand Coded'!C$2:C$10000)=LOWER(IFERROR(INDEX('gpt-5.4-mini'!K:K,MATCH('Hand Coded'!A$2:A$10000,'gpt-5.4-mini'!A:A,0)),""))))</f>
        <v>0</v>
      </c>
      <c r="C31" s="14">
        <f>COUNTIF('Hand Coded'!C:C,A31)</f>
        <v>1</v>
      </c>
      <c r="D31" s="15">
        <f t="shared" ref="D31:D55" si="1">IF(C31=0,"",B31/C31)</f>
        <v>0</v>
      </c>
    </row>
    <row r="32" spans="1:4" x14ac:dyDescent="0.2">
      <c r="A32" s="11" t="s">
        <v>407</v>
      </c>
      <c r="B32" s="14" cm="1">
        <f t="array" ref="B32">SUMPRODUCT(('Hand Coded'!C$2:C$10000=A32)*(LOWER('Hand Coded'!C$2:C$10000)=LOWER(IFERROR(INDEX('gpt-5.4-mini'!K:K,MATCH('Hand Coded'!A$2:A$10000,'gpt-5.4-mini'!A:A,0)),""))))</f>
        <v>0</v>
      </c>
      <c r="C32" s="14">
        <f>COUNTIF('Hand Coded'!C:C,A32)</f>
        <v>0</v>
      </c>
      <c r="D32" s="15" t="str">
        <f t="shared" si="1"/>
        <v/>
      </c>
    </row>
    <row r="33" spans="1:4" x14ac:dyDescent="0.2">
      <c r="A33" s="11" t="s">
        <v>39</v>
      </c>
      <c r="B33" s="14" cm="1">
        <f t="array" ref="B33">SUMPRODUCT(('Hand Coded'!C$2:C$10000=A33)*(LOWER('Hand Coded'!C$2:C$10000)=LOWER(IFERROR(INDEX('gpt-5.4-mini'!K:K,MATCH('Hand Coded'!A$2:A$10000,'gpt-5.4-mini'!A:A,0)),""))))</f>
        <v>2</v>
      </c>
      <c r="C33" s="14">
        <f>COUNTIF('Hand Coded'!C:C,A33)</f>
        <v>4</v>
      </c>
      <c r="D33" s="15">
        <f t="shared" si="1"/>
        <v>0.5</v>
      </c>
    </row>
    <row r="34" spans="1:4" x14ac:dyDescent="0.2">
      <c r="A34" s="11" t="s">
        <v>398</v>
      </c>
      <c r="B34" s="14" cm="1">
        <f t="array" ref="B34">SUMPRODUCT(('Hand Coded'!C$2:C$10000=A34)*(LOWER('Hand Coded'!C$2:C$10000)=LOWER(IFERROR(INDEX('gpt-5.4-mini'!K:K,MATCH('Hand Coded'!A$2:A$10000,'gpt-5.4-mini'!A:A,0)),""))))</f>
        <v>0</v>
      </c>
      <c r="C34" s="14">
        <f>COUNTIF('Hand Coded'!C:C,A34)</f>
        <v>0</v>
      </c>
      <c r="D34" s="15" t="str">
        <f t="shared" si="1"/>
        <v/>
      </c>
    </row>
    <row r="35" spans="1:4" x14ac:dyDescent="0.2">
      <c r="A35" s="11" t="s">
        <v>33</v>
      </c>
      <c r="B35" s="14" cm="1">
        <f t="array" ref="B35">SUMPRODUCT(('Hand Coded'!C$2:C$10000=A35)*(LOWER('Hand Coded'!C$2:C$10000)=LOWER(IFERROR(INDEX('gpt-5.4-mini'!K:K,MATCH('Hand Coded'!A$2:A$10000,'gpt-5.4-mini'!A:A,0)),""))))</f>
        <v>22</v>
      </c>
      <c r="C35" s="14">
        <f>COUNTIF('Hand Coded'!C:C,A35)</f>
        <v>32</v>
      </c>
      <c r="D35" s="15">
        <f t="shared" si="1"/>
        <v>0.6875</v>
      </c>
    </row>
    <row r="36" spans="1:4" x14ac:dyDescent="0.2">
      <c r="A36" s="11" t="s">
        <v>396</v>
      </c>
      <c r="B36" s="14" cm="1">
        <f t="array" ref="B36">SUMPRODUCT(('Hand Coded'!C$2:C$10000=A36)*(LOWER('Hand Coded'!C$2:C$10000)=LOWER(IFERROR(INDEX('gpt-5.4-mini'!K:K,MATCH('Hand Coded'!A$2:A$10000,'gpt-5.4-mini'!A:A,0)),""))))</f>
        <v>0</v>
      </c>
      <c r="C36" s="14">
        <f>COUNTIF('Hand Coded'!C:C,A36)</f>
        <v>0</v>
      </c>
      <c r="D36" s="15" t="str">
        <f t="shared" si="1"/>
        <v/>
      </c>
    </row>
    <row r="37" spans="1:4" x14ac:dyDescent="0.2">
      <c r="A37" s="11" t="s">
        <v>418</v>
      </c>
      <c r="B37" s="14" cm="1">
        <f t="array" ref="B37">SUMPRODUCT(('Hand Coded'!C$2:C$10000=A37)*(LOWER('Hand Coded'!C$2:C$10000)=LOWER(IFERROR(INDEX('gpt-5.4-mini'!K:K,MATCH('Hand Coded'!A$2:A$10000,'gpt-5.4-mini'!A:A,0)),""))))</f>
        <v>0</v>
      </c>
      <c r="C37" s="14">
        <f>COUNTIF('Hand Coded'!C:C,A37)</f>
        <v>0</v>
      </c>
      <c r="D37" s="15" t="str">
        <f t="shared" si="1"/>
        <v/>
      </c>
    </row>
    <row r="38" spans="1:4" x14ac:dyDescent="0.2">
      <c r="A38" s="11" t="s">
        <v>393</v>
      </c>
      <c r="B38" s="14" cm="1">
        <f t="array" ref="B38">SUMPRODUCT(('Hand Coded'!C$2:C$10000=A38)*(LOWER('Hand Coded'!C$2:C$10000)=LOWER(IFERROR(INDEX('gpt-5.4-mini'!K:K,MATCH('Hand Coded'!A$2:A$10000,'gpt-5.4-mini'!A:A,0)),""))))</f>
        <v>0</v>
      </c>
      <c r="C38" s="14">
        <f>COUNTIF('Hand Coded'!C:C,A38)</f>
        <v>0</v>
      </c>
      <c r="D38" s="15" t="str">
        <f t="shared" si="1"/>
        <v/>
      </c>
    </row>
    <row r="39" spans="1:4" x14ac:dyDescent="0.2">
      <c r="A39" s="11" t="s">
        <v>148</v>
      </c>
      <c r="B39" s="14" cm="1">
        <f t="array" ref="B39">SUMPRODUCT(('Hand Coded'!C$2:C$10000=A39)*(LOWER('Hand Coded'!C$2:C$10000)=LOWER(IFERROR(INDEX('gpt-5.4-mini'!K:K,MATCH('Hand Coded'!A$2:A$10000,'gpt-5.4-mini'!A:A,0)),""))))</f>
        <v>7</v>
      </c>
      <c r="C39" s="14">
        <f>COUNTIF('Hand Coded'!C:C,A39)</f>
        <v>19</v>
      </c>
      <c r="D39" s="15">
        <f t="shared" si="1"/>
        <v>0.36842105263157893</v>
      </c>
    </row>
    <row r="40" spans="1:4" x14ac:dyDescent="0.2">
      <c r="A40" s="11" t="s">
        <v>405</v>
      </c>
      <c r="B40" s="14" cm="1">
        <f t="array" ref="B40">SUMPRODUCT(('Hand Coded'!C$2:C$10000=A40)*(LOWER('Hand Coded'!C$2:C$10000)=LOWER(IFERROR(INDEX('gpt-5.4-mini'!K:K,MATCH('Hand Coded'!A$2:A$10000,'gpt-5.4-mini'!A:A,0)),""))))</f>
        <v>0</v>
      </c>
      <c r="C40" s="14">
        <f>COUNTIF('Hand Coded'!C:C,A40)</f>
        <v>0</v>
      </c>
      <c r="D40" s="15" t="str">
        <f t="shared" si="1"/>
        <v/>
      </c>
    </row>
    <row r="41" spans="1:4" x14ac:dyDescent="0.2">
      <c r="A41" s="11" t="s">
        <v>417</v>
      </c>
      <c r="B41" s="14" cm="1">
        <f t="array" ref="B41">SUMPRODUCT(('Hand Coded'!C$2:C$10000=A41)*(LOWER('Hand Coded'!C$2:C$10000)=LOWER(IFERROR(INDEX('gpt-5.4-mini'!K:K,MATCH('Hand Coded'!A$2:A$10000,'gpt-5.4-mini'!A:A,0)),""))))</f>
        <v>0</v>
      </c>
      <c r="C41" s="14">
        <f>COUNTIF('Hand Coded'!C:C,A41)</f>
        <v>0</v>
      </c>
      <c r="D41" s="15" t="str">
        <f t="shared" si="1"/>
        <v/>
      </c>
    </row>
    <row r="42" spans="1:4" x14ac:dyDescent="0.2">
      <c r="A42" s="11" t="s">
        <v>416</v>
      </c>
      <c r="B42" s="14" cm="1">
        <f t="array" ref="B42">SUMPRODUCT(('Hand Coded'!C$2:C$10000=A42)*(LOWER('Hand Coded'!C$2:C$10000)=LOWER(IFERROR(INDEX('gpt-5.4-mini'!K:K,MATCH('Hand Coded'!A$2:A$10000,'gpt-5.4-mini'!A:A,0)),""))))</f>
        <v>0</v>
      </c>
      <c r="C42" s="14">
        <f>COUNTIF('Hand Coded'!C:C,A42)</f>
        <v>4</v>
      </c>
      <c r="D42" s="15">
        <f t="shared" si="1"/>
        <v>0</v>
      </c>
    </row>
    <row r="43" spans="1:4" x14ac:dyDescent="0.2">
      <c r="A43" s="11" t="s">
        <v>55</v>
      </c>
      <c r="B43" s="14" cm="1">
        <f t="array" ref="B43">SUMPRODUCT(('Hand Coded'!C$2:C$10000=A43)*(LOWER('Hand Coded'!C$2:C$10000)=LOWER(IFERROR(INDEX('gpt-5.4-mini'!K:K,MATCH('Hand Coded'!A$2:A$10000,'gpt-5.4-mini'!A:A,0)),""))))</f>
        <v>4</v>
      </c>
      <c r="C43" s="14">
        <f>COUNTIF('Hand Coded'!C:C,A43)</f>
        <v>19</v>
      </c>
      <c r="D43" s="15">
        <f t="shared" si="1"/>
        <v>0.21052631578947367</v>
      </c>
    </row>
    <row r="44" spans="1:4" x14ac:dyDescent="0.2">
      <c r="A44" s="11" t="s">
        <v>83</v>
      </c>
      <c r="B44" s="14" cm="1">
        <f t="array" ref="B44">SUMPRODUCT(('Hand Coded'!C$2:C$10000=A44)*(LOWER('Hand Coded'!C$2:C$10000)=LOWER(IFERROR(INDEX('gpt-5.4-mini'!K:K,MATCH('Hand Coded'!A$2:A$10000,'gpt-5.4-mini'!A:A,0)),""))))</f>
        <v>5</v>
      </c>
      <c r="C44" s="14">
        <f>COUNTIF('Hand Coded'!C:C,A44)</f>
        <v>12</v>
      </c>
      <c r="D44" s="15">
        <f t="shared" si="1"/>
        <v>0.41666666666666669</v>
      </c>
    </row>
    <row r="45" spans="1:4" x14ac:dyDescent="0.2">
      <c r="A45" s="11" t="s">
        <v>388</v>
      </c>
      <c r="B45" s="14" cm="1">
        <f t="array" ref="B45">SUMPRODUCT(('Hand Coded'!C$2:C$10000=A45)*(LOWER('Hand Coded'!C$2:C$10000)=LOWER(IFERROR(INDEX('gpt-5.4-mini'!K:K,MATCH('Hand Coded'!A$2:A$10000,'gpt-5.4-mini'!A:A,0)),""))))</f>
        <v>0</v>
      </c>
      <c r="C45" s="14">
        <f>COUNTIF('Hand Coded'!C:C,A45)</f>
        <v>0</v>
      </c>
      <c r="D45" s="15" t="str">
        <f t="shared" si="1"/>
        <v/>
      </c>
    </row>
    <row r="46" spans="1:4" x14ac:dyDescent="0.2">
      <c r="A46" s="11" t="s">
        <v>17</v>
      </c>
      <c r="B46" s="14" cm="1">
        <f t="array" ref="B46">SUMPRODUCT(('Hand Coded'!C$2:C$10000=A46)*(LOWER('Hand Coded'!C$2:C$10000)=LOWER(IFERROR(INDEX('gpt-5.4-mini'!K:K,MATCH('Hand Coded'!A$2:A$10000,'gpt-5.4-mini'!A:A,0)),""))))</f>
        <v>30</v>
      </c>
      <c r="C46" s="14">
        <f>COUNTIF('Hand Coded'!C:C,A46)</f>
        <v>53</v>
      </c>
      <c r="D46" s="15">
        <f t="shared" si="1"/>
        <v>0.56603773584905659</v>
      </c>
    </row>
    <row r="47" spans="1:4" x14ac:dyDescent="0.2">
      <c r="A47" s="11" t="s">
        <v>54</v>
      </c>
      <c r="B47" s="14" cm="1">
        <f t="array" ref="B47">SUMPRODUCT(('Hand Coded'!C$2:C$10000=A47)*(LOWER('Hand Coded'!C$2:C$10000)=LOWER(IFERROR(INDEX('gpt-5.4-mini'!K:K,MATCH('Hand Coded'!A$2:A$10000,'gpt-5.4-mini'!A:A,0)),""))))</f>
        <v>4</v>
      </c>
      <c r="C47" s="14">
        <f>COUNTIF('Hand Coded'!C:C,A47)</f>
        <v>5</v>
      </c>
      <c r="D47" s="15">
        <f t="shared" si="1"/>
        <v>0.8</v>
      </c>
    </row>
    <row r="48" spans="1:4" x14ac:dyDescent="0.2">
      <c r="A48" s="11" t="s">
        <v>408</v>
      </c>
      <c r="B48" s="14" cm="1">
        <f t="array" ref="B48">SUMPRODUCT(('Hand Coded'!C$2:C$10000=A48)*(LOWER('Hand Coded'!C$2:C$10000)=LOWER(IFERROR(INDEX('gpt-5.4-mini'!K:K,MATCH('Hand Coded'!A$2:A$10000,'gpt-5.4-mini'!A:A,0)),""))))</f>
        <v>0</v>
      </c>
      <c r="C48" s="14">
        <f>COUNTIF('Hand Coded'!C:C,A48)</f>
        <v>0</v>
      </c>
      <c r="D48" s="15" t="str">
        <f t="shared" si="1"/>
        <v/>
      </c>
    </row>
    <row r="49" spans="1:4" x14ac:dyDescent="0.2">
      <c r="A49" s="11" t="s">
        <v>426</v>
      </c>
      <c r="B49" s="14" cm="1">
        <f t="array" ref="B49">SUMPRODUCT(('Hand Coded'!C$2:C$10000=A49)*(LOWER('Hand Coded'!C$2:C$10000)=LOWER(IFERROR(INDEX('gpt-5.4-mini'!K:K,MATCH('Hand Coded'!A$2:A$10000,'gpt-5.4-mini'!A:A,0)),""))))</f>
        <v>0</v>
      </c>
      <c r="C49" s="14">
        <f>COUNTIF('Hand Coded'!C:C,A49)</f>
        <v>0</v>
      </c>
      <c r="D49" s="15" t="str">
        <f t="shared" si="1"/>
        <v/>
      </c>
    </row>
    <row r="50" spans="1:4" x14ac:dyDescent="0.2">
      <c r="A50" s="11" t="s">
        <v>424</v>
      </c>
      <c r="B50" s="14" cm="1">
        <f t="array" ref="B50">SUMPRODUCT(('Hand Coded'!C$2:C$10000=A50)*(LOWER('Hand Coded'!C$2:C$10000)=LOWER(IFERROR(INDEX('gpt-5.4-mini'!K:K,MATCH('Hand Coded'!A$2:A$10000,'gpt-5.4-mini'!A:A,0)),""))))</f>
        <v>0</v>
      </c>
      <c r="C50" s="14">
        <f>COUNTIF('Hand Coded'!C:C,A50)</f>
        <v>0</v>
      </c>
      <c r="D50" s="15" t="str">
        <f t="shared" si="1"/>
        <v/>
      </c>
    </row>
    <row r="51" spans="1:4" x14ac:dyDescent="0.2">
      <c r="A51" s="11" t="s">
        <v>63</v>
      </c>
      <c r="B51" s="14" cm="1">
        <f t="array" ref="B51">SUMPRODUCT(('Hand Coded'!C$2:C$10000=A51)*(LOWER('Hand Coded'!C$2:C$10000)=LOWER(IFERROR(INDEX('gpt-5.4-mini'!K:K,MATCH('Hand Coded'!A$2:A$10000,'gpt-5.4-mini'!A:A,0)),""))))</f>
        <v>2</v>
      </c>
      <c r="C51" s="14">
        <f>COUNTIF('Hand Coded'!C:C,A51)</f>
        <v>8</v>
      </c>
      <c r="D51" s="15">
        <f t="shared" si="1"/>
        <v>0.25</v>
      </c>
    </row>
    <row r="52" spans="1:4" x14ac:dyDescent="0.2">
      <c r="A52" s="11" t="s">
        <v>395</v>
      </c>
      <c r="B52" s="14" cm="1">
        <f t="array" ref="B52">SUMPRODUCT(('Hand Coded'!C$2:C$10000=A52)*(LOWER('Hand Coded'!C$2:C$10000)=LOWER(IFERROR(INDEX('gpt-5.4-mini'!K:K,MATCH('Hand Coded'!A$2:A$10000,'gpt-5.4-mini'!A:A,0)),""))))</f>
        <v>0</v>
      </c>
      <c r="C52" s="14">
        <f>COUNTIF('Hand Coded'!C:C,A52)</f>
        <v>0</v>
      </c>
      <c r="D52" s="15" t="str">
        <f t="shared" si="1"/>
        <v/>
      </c>
    </row>
    <row r="53" spans="1:4" x14ac:dyDescent="0.2">
      <c r="A53" s="11" t="s">
        <v>26</v>
      </c>
      <c r="B53" s="14" cm="1">
        <f t="array" ref="B53">SUMPRODUCT(('Hand Coded'!C$2:C$10000=A53)*(LOWER('Hand Coded'!C$2:C$10000)=LOWER(IFERROR(INDEX('gpt-5.4-mini'!K:K,MATCH('Hand Coded'!A$2:A$10000,'gpt-5.4-mini'!A:A,0)),""))))</f>
        <v>9</v>
      </c>
      <c r="C53" s="14">
        <f>COUNTIF('Hand Coded'!C:C,A53)</f>
        <v>11</v>
      </c>
      <c r="D53" s="15">
        <f t="shared" si="1"/>
        <v>0.81818181818181823</v>
      </c>
    </row>
    <row r="54" spans="1:4" ht="16" thickBot="1" x14ac:dyDescent="0.25">
      <c r="A54" s="12" t="s">
        <v>37</v>
      </c>
      <c r="B54" s="16" cm="1">
        <f t="array" ref="B54">SUMPRODUCT(('Hand Coded'!C$2:C$10000=A54)*(LOWER('Hand Coded'!C$2:C$10000)=LOWER(IFERROR(INDEX('gpt-5.4-mini'!K:K,MATCH('Hand Coded'!A$2:A$10000,'gpt-5.4-mini'!A:A,0)),""))))</f>
        <v>34</v>
      </c>
      <c r="C54" s="16">
        <f>COUNTIF('Hand Coded'!C:C,A54)</f>
        <v>64</v>
      </c>
      <c r="D54" s="17">
        <f t="shared" si="1"/>
        <v>0.53125</v>
      </c>
    </row>
    <row r="55" spans="1:4" x14ac:dyDescent="0.2">
      <c r="A55" s="13" t="s">
        <v>437</v>
      </c>
      <c r="B55" s="18">
        <f>SUM(B31:B54)</f>
        <v>119</v>
      </c>
      <c r="C55" s="18">
        <f>SUM(C31:C54)</f>
        <v>232</v>
      </c>
      <c r="D55" s="19">
        <f t="shared" si="1"/>
        <v>0.51293103448275867</v>
      </c>
    </row>
    <row r="57" spans="1:4" ht="17" x14ac:dyDescent="0.2">
      <c r="A57" s="9" t="s">
        <v>255</v>
      </c>
    </row>
    <row r="58" spans="1:4" x14ac:dyDescent="0.2">
      <c r="A58" s="10" t="s">
        <v>462</v>
      </c>
      <c r="B58" s="20" t="s">
        <v>434</v>
      </c>
      <c r="C58" s="20" t="s">
        <v>435</v>
      </c>
      <c r="D58" s="21" t="s">
        <v>436</v>
      </c>
    </row>
    <row r="59" spans="1:4" x14ac:dyDescent="0.2">
      <c r="A59" s="11" t="s">
        <v>47</v>
      </c>
      <c r="B59" s="14" cm="1">
        <f t="array" ref="B59">SUMPRODUCT(('Hand Coded'!C$2:C$10000=A59)*(LOWER('Hand Coded'!C$2:C$10000)=LOWER(IFERROR(INDEX('claude-sonnet-4-6'!K:K,MATCH('Hand Coded'!A$2:A$10000,'claude-sonnet-4-6'!A:A,0)),""))))</f>
        <v>0</v>
      </c>
      <c r="C59" s="14">
        <f>COUNTIF('Hand Coded'!C:C,A59)</f>
        <v>1</v>
      </c>
      <c r="D59" s="15">
        <f t="shared" ref="D59:D83" si="2">IF(C59=0,"",B59/C59)</f>
        <v>0</v>
      </c>
    </row>
    <row r="60" spans="1:4" x14ac:dyDescent="0.2">
      <c r="A60" s="11" t="s">
        <v>407</v>
      </c>
      <c r="B60" s="14" cm="1">
        <f t="array" ref="B60">SUMPRODUCT(('Hand Coded'!C$2:C$10000=A60)*(LOWER('Hand Coded'!C$2:C$10000)=LOWER(IFERROR(INDEX('claude-sonnet-4-6'!K:K,MATCH('Hand Coded'!A$2:A$10000,'claude-sonnet-4-6'!A:A,0)),""))))</f>
        <v>0</v>
      </c>
      <c r="C60" s="14">
        <f>COUNTIF('Hand Coded'!C:C,A60)</f>
        <v>0</v>
      </c>
      <c r="D60" s="15" t="str">
        <f t="shared" si="2"/>
        <v/>
      </c>
    </row>
    <row r="61" spans="1:4" x14ac:dyDescent="0.2">
      <c r="A61" s="11" t="s">
        <v>39</v>
      </c>
      <c r="B61" s="14" cm="1">
        <f t="array" ref="B61">SUMPRODUCT(('Hand Coded'!C$2:C$10000=A61)*(LOWER('Hand Coded'!C$2:C$10000)=LOWER(IFERROR(INDEX('claude-sonnet-4-6'!K:K,MATCH('Hand Coded'!A$2:A$10000,'claude-sonnet-4-6'!A:A,0)),""))))</f>
        <v>4</v>
      </c>
      <c r="C61" s="14">
        <f>COUNTIF('Hand Coded'!C:C,A61)</f>
        <v>4</v>
      </c>
      <c r="D61" s="15">
        <f t="shared" si="2"/>
        <v>1</v>
      </c>
    </row>
    <row r="62" spans="1:4" x14ac:dyDescent="0.2">
      <c r="A62" s="11" t="s">
        <v>398</v>
      </c>
      <c r="B62" s="14" cm="1">
        <f t="array" ref="B62">SUMPRODUCT(('Hand Coded'!C$2:C$10000=A62)*(LOWER('Hand Coded'!C$2:C$10000)=LOWER(IFERROR(INDEX('claude-sonnet-4-6'!K:K,MATCH('Hand Coded'!A$2:A$10000,'claude-sonnet-4-6'!A:A,0)),""))))</f>
        <v>0</v>
      </c>
      <c r="C62" s="14">
        <f>COUNTIF('Hand Coded'!C:C,A62)</f>
        <v>0</v>
      </c>
      <c r="D62" s="15" t="str">
        <f t="shared" si="2"/>
        <v/>
      </c>
    </row>
    <row r="63" spans="1:4" x14ac:dyDescent="0.2">
      <c r="A63" s="11" t="s">
        <v>33</v>
      </c>
      <c r="B63" s="14" cm="1">
        <f t="array" ref="B63">SUMPRODUCT(('Hand Coded'!C$2:C$10000=A63)*(LOWER('Hand Coded'!C$2:C$10000)=LOWER(IFERROR(INDEX('claude-sonnet-4-6'!K:K,MATCH('Hand Coded'!A$2:A$10000,'claude-sonnet-4-6'!A:A,0)),""))))</f>
        <v>24</v>
      </c>
      <c r="C63" s="14">
        <f>COUNTIF('Hand Coded'!C:C,A63)</f>
        <v>32</v>
      </c>
      <c r="D63" s="15">
        <f t="shared" si="2"/>
        <v>0.75</v>
      </c>
    </row>
    <row r="64" spans="1:4" x14ac:dyDescent="0.2">
      <c r="A64" s="11" t="s">
        <v>396</v>
      </c>
      <c r="B64" s="14" cm="1">
        <f t="array" ref="B64">SUMPRODUCT(('Hand Coded'!C$2:C$10000=A64)*(LOWER('Hand Coded'!C$2:C$10000)=LOWER(IFERROR(INDEX('claude-sonnet-4-6'!K:K,MATCH('Hand Coded'!A$2:A$10000,'claude-sonnet-4-6'!A:A,0)),""))))</f>
        <v>0</v>
      </c>
      <c r="C64" s="14">
        <f>COUNTIF('Hand Coded'!C:C,A64)</f>
        <v>0</v>
      </c>
      <c r="D64" s="15" t="str">
        <f t="shared" si="2"/>
        <v/>
      </c>
    </row>
    <row r="65" spans="1:4" x14ac:dyDescent="0.2">
      <c r="A65" s="11" t="s">
        <v>418</v>
      </c>
      <c r="B65" s="14" cm="1">
        <f t="array" ref="B65">SUMPRODUCT(('Hand Coded'!C$2:C$10000=A65)*(LOWER('Hand Coded'!C$2:C$10000)=LOWER(IFERROR(INDEX('claude-sonnet-4-6'!K:K,MATCH('Hand Coded'!A$2:A$10000,'claude-sonnet-4-6'!A:A,0)),""))))</f>
        <v>0</v>
      </c>
      <c r="C65" s="14">
        <f>COUNTIF('Hand Coded'!C:C,A65)</f>
        <v>0</v>
      </c>
      <c r="D65" s="15" t="str">
        <f t="shared" si="2"/>
        <v/>
      </c>
    </row>
    <row r="66" spans="1:4" x14ac:dyDescent="0.2">
      <c r="A66" s="11" t="s">
        <v>393</v>
      </c>
      <c r="B66" s="14" cm="1">
        <f t="array" ref="B66">SUMPRODUCT(('Hand Coded'!C$2:C$10000=A66)*(LOWER('Hand Coded'!C$2:C$10000)=LOWER(IFERROR(INDEX('claude-sonnet-4-6'!K:K,MATCH('Hand Coded'!A$2:A$10000,'claude-sonnet-4-6'!A:A,0)),""))))</f>
        <v>0</v>
      </c>
      <c r="C66" s="14">
        <f>COUNTIF('Hand Coded'!C:C,A66)</f>
        <v>0</v>
      </c>
      <c r="D66" s="15" t="str">
        <f t="shared" si="2"/>
        <v/>
      </c>
    </row>
    <row r="67" spans="1:4" x14ac:dyDescent="0.2">
      <c r="A67" s="11" t="s">
        <v>148</v>
      </c>
      <c r="B67" s="14" cm="1">
        <f t="array" ref="B67">SUMPRODUCT(('Hand Coded'!C$2:C$10000=A67)*(LOWER('Hand Coded'!C$2:C$10000)=LOWER(IFERROR(INDEX('claude-sonnet-4-6'!K:K,MATCH('Hand Coded'!A$2:A$10000,'claude-sonnet-4-6'!A:A,0)),""))))</f>
        <v>9</v>
      </c>
      <c r="C67" s="14">
        <f>COUNTIF('Hand Coded'!C:C,A67)</f>
        <v>19</v>
      </c>
      <c r="D67" s="15">
        <f t="shared" si="2"/>
        <v>0.47368421052631576</v>
      </c>
    </row>
    <row r="68" spans="1:4" x14ac:dyDescent="0.2">
      <c r="A68" s="11" t="s">
        <v>405</v>
      </c>
      <c r="B68" s="14" cm="1">
        <f t="array" ref="B68">SUMPRODUCT(('Hand Coded'!C$2:C$10000=A68)*(LOWER('Hand Coded'!C$2:C$10000)=LOWER(IFERROR(INDEX('claude-sonnet-4-6'!K:K,MATCH('Hand Coded'!A$2:A$10000,'claude-sonnet-4-6'!A:A,0)),""))))</f>
        <v>0</v>
      </c>
      <c r="C68" s="14">
        <f>COUNTIF('Hand Coded'!C:C,A68)</f>
        <v>0</v>
      </c>
      <c r="D68" s="15" t="str">
        <f t="shared" si="2"/>
        <v/>
      </c>
    </row>
    <row r="69" spans="1:4" x14ac:dyDescent="0.2">
      <c r="A69" s="11" t="s">
        <v>417</v>
      </c>
      <c r="B69" s="14" cm="1">
        <f t="array" ref="B69">SUMPRODUCT(('Hand Coded'!C$2:C$10000=A69)*(LOWER('Hand Coded'!C$2:C$10000)=LOWER(IFERROR(INDEX('claude-sonnet-4-6'!K:K,MATCH('Hand Coded'!A$2:A$10000,'claude-sonnet-4-6'!A:A,0)),""))))</f>
        <v>0</v>
      </c>
      <c r="C69" s="14">
        <f>COUNTIF('Hand Coded'!C:C,A69)</f>
        <v>0</v>
      </c>
      <c r="D69" s="15" t="str">
        <f t="shared" si="2"/>
        <v/>
      </c>
    </row>
    <row r="70" spans="1:4" x14ac:dyDescent="0.2">
      <c r="A70" s="11" t="s">
        <v>416</v>
      </c>
      <c r="B70" s="14" cm="1">
        <f t="array" ref="B70">SUMPRODUCT(('Hand Coded'!C$2:C$10000=A70)*(LOWER('Hand Coded'!C$2:C$10000)=LOWER(IFERROR(INDEX('claude-sonnet-4-6'!K:K,MATCH('Hand Coded'!A$2:A$10000,'claude-sonnet-4-6'!A:A,0)),""))))</f>
        <v>0</v>
      </c>
      <c r="C70" s="14">
        <f>COUNTIF('Hand Coded'!C:C,A70)</f>
        <v>4</v>
      </c>
      <c r="D70" s="15">
        <f t="shared" si="2"/>
        <v>0</v>
      </c>
    </row>
    <row r="71" spans="1:4" x14ac:dyDescent="0.2">
      <c r="A71" s="11" t="s">
        <v>55</v>
      </c>
      <c r="B71" s="14" cm="1">
        <f t="array" ref="B71">SUMPRODUCT(('Hand Coded'!C$2:C$10000=A71)*(LOWER('Hand Coded'!C$2:C$10000)=LOWER(IFERROR(INDEX('claude-sonnet-4-6'!K:K,MATCH('Hand Coded'!A$2:A$10000,'claude-sonnet-4-6'!A:A,0)),""))))</f>
        <v>3</v>
      </c>
      <c r="C71" s="14">
        <f>COUNTIF('Hand Coded'!C:C,A71)</f>
        <v>19</v>
      </c>
      <c r="D71" s="15">
        <f t="shared" si="2"/>
        <v>0.15789473684210525</v>
      </c>
    </row>
    <row r="72" spans="1:4" x14ac:dyDescent="0.2">
      <c r="A72" s="11" t="s">
        <v>83</v>
      </c>
      <c r="B72" s="14" cm="1">
        <f t="array" ref="B72">SUMPRODUCT(('Hand Coded'!C$2:C$10000=A72)*(LOWER('Hand Coded'!C$2:C$10000)=LOWER(IFERROR(INDEX('claude-sonnet-4-6'!K:K,MATCH('Hand Coded'!A$2:A$10000,'claude-sonnet-4-6'!A:A,0)),""))))</f>
        <v>3</v>
      </c>
      <c r="C72" s="14">
        <f>COUNTIF('Hand Coded'!C:C,A72)</f>
        <v>12</v>
      </c>
      <c r="D72" s="15">
        <f t="shared" si="2"/>
        <v>0.25</v>
      </c>
    </row>
    <row r="73" spans="1:4" x14ac:dyDescent="0.2">
      <c r="A73" s="11" t="s">
        <v>388</v>
      </c>
      <c r="B73" s="14" cm="1">
        <f t="array" ref="B73">SUMPRODUCT(('Hand Coded'!C$2:C$10000=A73)*(LOWER('Hand Coded'!C$2:C$10000)=LOWER(IFERROR(INDEX('claude-sonnet-4-6'!K:K,MATCH('Hand Coded'!A$2:A$10000,'claude-sonnet-4-6'!A:A,0)),""))))</f>
        <v>0</v>
      </c>
      <c r="C73" s="14">
        <f>COUNTIF('Hand Coded'!C:C,A73)</f>
        <v>0</v>
      </c>
      <c r="D73" s="15" t="str">
        <f t="shared" si="2"/>
        <v/>
      </c>
    </row>
    <row r="74" spans="1:4" x14ac:dyDescent="0.2">
      <c r="A74" s="11" t="s">
        <v>17</v>
      </c>
      <c r="B74" s="14" cm="1">
        <f t="array" ref="B74">SUMPRODUCT(('Hand Coded'!C$2:C$10000=A74)*(LOWER('Hand Coded'!C$2:C$10000)=LOWER(IFERROR(INDEX('claude-sonnet-4-6'!K:K,MATCH('Hand Coded'!A$2:A$10000,'claude-sonnet-4-6'!A:A,0)),""))))</f>
        <v>19</v>
      </c>
      <c r="C74" s="14">
        <f>COUNTIF('Hand Coded'!C:C,A74)</f>
        <v>53</v>
      </c>
      <c r="D74" s="15">
        <f t="shared" si="2"/>
        <v>0.35849056603773582</v>
      </c>
    </row>
    <row r="75" spans="1:4" x14ac:dyDescent="0.2">
      <c r="A75" s="11" t="s">
        <v>54</v>
      </c>
      <c r="B75" s="14" cm="1">
        <f t="array" ref="B75">SUMPRODUCT(('Hand Coded'!C$2:C$10000=A75)*(LOWER('Hand Coded'!C$2:C$10000)=LOWER(IFERROR(INDEX('claude-sonnet-4-6'!K:K,MATCH('Hand Coded'!A$2:A$10000,'claude-sonnet-4-6'!A:A,0)),""))))</f>
        <v>3</v>
      </c>
      <c r="C75" s="14">
        <f>COUNTIF('Hand Coded'!C:C,A75)</f>
        <v>5</v>
      </c>
      <c r="D75" s="15">
        <f t="shared" si="2"/>
        <v>0.6</v>
      </c>
    </row>
    <row r="76" spans="1:4" x14ac:dyDescent="0.2">
      <c r="A76" s="11" t="s">
        <v>408</v>
      </c>
      <c r="B76" s="14" cm="1">
        <f t="array" ref="B76">SUMPRODUCT(('Hand Coded'!C$2:C$10000=A76)*(LOWER('Hand Coded'!C$2:C$10000)=LOWER(IFERROR(INDEX('claude-sonnet-4-6'!K:K,MATCH('Hand Coded'!A$2:A$10000,'claude-sonnet-4-6'!A:A,0)),""))))</f>
        <v>0</v>
      </c>
      <c r="C76" s="14">
        <f>COUNTIF('Hand Coded'!C:C,A76)</f>
        <v>0</v>
      </c>
      <c r="D76" s="15" t="str">
        <f t="shared" si="2"/>
        <v/>
      </c>
    </row>
    <row r="77" spans="1:4" x14ac:dyDescent="0.2">
      <c r="A77" s="11" t="s">
        <v>426</v>
      </c>
      <c r="B77" s="14" cm="1">
        <f t="array" ref="B77">SUMPRODUCT(('Hand Coded'!C$2:C$10000=A77)*(LOWER('Hand Coded'!C$2:C$10000)=LOWER(IFERROR(INDEX('claude-sonnet-4-6'!K:K,MATCH('Hand Coded'!A$2:A$10000,'claude-sonnet-4-6'!A:A,0)),""))))</f>
        <v>0</v>
      </c>
      <c r="C77" s="14">
        <f>COUNTIF('Hand Coded'!C:C,A77)</f>
        <v>0</v>
      </c>
      <c r="D77" s="15" t="str">
        <f t="shared" si="2"/>
        <v/>
      </c>
    </row>
    <row r="78" spans="1:4" x14ac:dyDescent="0.2">
      <c r="A78" s="11" t="s">
        <v>424</v>
      </c>
      <c r="B78" s="14" cm="1">
        <f t="array" ref="B78">SUMPRODUCT(('Hand Coded'!C$2:C$10000=A78)*(LOWER('Hand Coded'!C$2:C$10000)=LOWER(IFERROR(INDEX('claude-sonnet-4-6'!K:K,MATCH('Hand Coded'!A$2:A$10000,'claude-sonnet-4-6'!A:A,0)),""))))</f>
        <v>0</v>
      </c>
      <c r="C78" s="14">
        <f>COUNTIF('Hand Coded'!C:C,A78)</f>
        <v>0</v>
      </c>
      <c r="D78" s="15" t="str">
        <f t="shared" si="2"/>
        <v/>
      </c>
    </row>
    <row r="79" spans="1:4" x14ac:dyDescent="0.2">
      <c r="A79" s="11" t="s">
        <v>63</v>
      </c>
      <c r="B79" s="14" cm="1">
        <f t="array" ref="B79">SUMPRODUCT(('Hand Coded'!C$2:C$10000=A79)*(LOWER('Hand Coded'!C$2:C$10000)=LOWER(IFERROR(INDEX('claude-sonnet-4-6'!K:K,MATCH('Hand Coded'!A$2:A$10000,'claude-sonnet-4-6'!A:A,0)),""))))</f>
        <v>5</v>
      </c>
      <c r="C79" s="14">
        <f>COUNTIF('Hand Coded'!C:C,A79)</f>
        <v>8</v>
      </c>
      <c r="D79" s="15">
        <f t="shared" si="2"/>
        <v>0.625</v>
      </c>
    </row>
    <row r="80" spans="1:4" x14ac:dyDescent="0.2">
      <c r="A80" s="11" t="s">
        <v>395</v>
      </c>
      <c r="B80" s="14" cm="1">
        <f t="array" ref="B80">SUMPRODUCT(('Hand Coded'!C$2:C$10000=A80)*(LOWER('Hand Coded'!C$2:C$10000)=LOWER(IFERROR(INDEX('claude-sonnet-4-6'!K:K,MATCH('Hand Coded'!A$2:A$10000,'claude-sonnet-4-6'!A:A,0)),""))))</f>
        <v>0</v>
      </c>
      <c r="C80" s="14">
        <f>COUNTIF('Hand Coded'!C:C,A80)</f>
        <v>0</v>
      </c>
      <c r="D80" s="15" t="str">
        <f t="shared" si="2"/>
        <v/>
      </c>
    </row>
    <row r="81" spans="1:4" x14ac:dyDescent="0.2">
      <c r="A81" s="11" t="s">
        <v>26</v>
      </c>
      <c r="B81" s="14" cm="1">
        <f t="array" ref="B81">SUMPRODUCT(('Hand Coded'!C$2:C$10000=A81)*(LOWER('Hand Coded'!C$2:C$10000)=LOWER(IFERROR(INDEX('claude-sonnet-4-6'!K:K,MATCH('Hand Coded'!A$2:A$10000,'claude-sonnet-4-6'!A:A,0)),""))))</f>
        <v>7</v>
      </c>
      <c r="C81" s="14">
        <f>COUNTIF('Hand Coded'!C:C,A81)</f>
        <v>11</v>
      </c>
      <c r="D81" s="15">
        <f t="shared" si="2"/>
        <v>0.63636363636363635</v>
      </c>
    </row>
    <row r="82" spans="1:4" ht="16" thickBot="1" x14ac:dyDescent="0.25">
      <c r="A82" s="12" t="s">
        <v>37</v>
      </c>
      <c r="B82" s="16" cm="1">
        <f t="array" ref="B82">SUMPRODUCT(('Hand Coded'!C$2:C$10000=A82)*(LOWER('Hand Coded'!C$2:C$10000)=LOWER(IFERROR(INDEX('claude-sonnet-4-6'!K:K,MATCH('Hand Coded'!A$2:A$10000,'claude-sonnet-4-6'!A:A,0)),""))))</f>
        <v>46</v>
      </c>
      <c r="C82" s="16">
        <f>COUNTIF('Hand Coded'!C:C,A82)</f>
        <v>64</v>
      </c>
      <c r="D82" s="17">
        <f t="shared" si="2"/>
        <v>0.71875</v>
      </c>
    </row>
    <row r="83" spans="1:4" x14ac:dyDescent="0.2">
      <c r="A83" s="13" t="s">
        <v>437</v>
      </c>
      <c r="B83" s="18">
        <f>SUM(B59:B82)</f>
        <v>123</v>
      </c>
      <c r="C83" s="18">
        <f>SUM(C59:C82)</f>
        <v>232</v>
      </c>
      <c r="D83" s="19">
        <f t="shared" si="2"/>
        <v>0.53017241379310343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5330-64C5-AB41-B8A2-5BC54B711703}">
  <dimension ref="A1:D47"/>
  <sheetViews>
    <sheetView workbookViewId="0">
      <selection activeCell="B5" sqref="B5"/>
    </sheetView>
  </sheetViews>
  <sheetFormatPr baseColWidth="10" defaultRowHeight="15" x14ac:dyDescent="0.2"/>
  <cols>
    <col min="1" max="1" width="28" bestFit="1" customWidth="1"/>
    <col min="2" max="2" width="13.6640625" bestFit="1" customWidth="1"/>
    <col min="3" max="3" width="26.6640625" bestFit="1" customWidth="1"/>
    <col min="4" max="4" width="8.5" bestFit="1" customWidth="1"/>
  </cols>
  <sheetData>
    <row r="1" spans="1:4" ht="17" x14ac:dyDescent="0.2">
      <c r="A1" s="9" t="s">
        <v>11</v>
      </c>
    </row>
    <row r="2" spans="1:4" x14ac:dyDescent="0.2">
      <c r="A2" s="10" t="s">
        <v>462</v>
      </c>
      <c r="B2" s="20" t="s">
        <v>434</v>
      </c>
      <c r="C2" s="20" t="s">
        <v>435</v>
      </c>
      <c r="D2" s="21" t="s">
        <v>436</v>
      </c>
    </row>
    <row r="3" spans="1:4" x14ac:dyDescent="0.2">
      <c r="A3" s="11" t="s">
        <v>396</v>
      </c>
      <c r="B3" s="14" cm="1">
        <f t="array" ref="B3">SUMPRODUCT(('Hand Coded'!D$2:D$10000=A3)*(LOWER('Hand Coded'!D$2:D$10000)=LOWER(IFERROR(INDEX('gemini-3.1-flash-lite-preview'!G:G,MATCH('Hand Coded'!A$2:A$10000,'gemini-3.1-flash-lite-preview'!A:A,0)),""))))</f>
        <v>0</v>
      </c>
      <c r="C3" s="14">
        <f>COUNTIF('Hand Coded'!D:D,A3)</f>
        <v>2</v>
      </c>
      <c r="D3" s="15">
        <f t="shared" ref="D3:D15" si="0">IF(C3=0,"",B3/C3)</f>
        <v>0</v>
      </c>
    </row>
    <row r="4" spans="1:4" x14ac:dyDescent="0.2">
      <c r="A4" s="11" t="s">
        <v>394</v>
      </c>
      <c r="B4" s="14" cm="1">
        <f t="array" ref="B4">SUMPRODUCT(('Hand Coded'!D$2:D$10000=A4)*(LOWER('Hand Coded'!D$2:D$10000)=LOWER(IFERROR(INDEX('gemini-3.1-flash-lite-preview'!G:G,MATCH('Hand Coded'!A$2:A$10000,'gemini-3.1-flash-lite-preview'!A:A,0)),""))))</f>
        <v>0</v>
      </c>
      <c r="C4" s="14">
        <f>COUNTIF('Hand Coded'!D:D,A4)</f>
        <v>0</v>
      </c>
      <c r="D4" s="15" t="str">
        <f t="shared" si="0"/>
        <v/>
      </c>
    </row>
    <row r="5" spans="1:4" x14ac:dyDescent="0.2">
      <c r="A5" s="11" t="s">
        <v>391</v>
      </c>
      <c r="B5" s="14" cm="1">
        <f t="array" ref="B5">SUMPRODUCT(('Hand Coded'!D$2:D$10000=A5)*(LOWER('Hand Coded'!D$2:D$10000)=LOWER(IFERROR(INDEX('gemini-3.1-flash-lite-preview'!G:G,MATCH('Hand Coded'!A$2:A$10000,'gemini-3.1-flash-lite-preview'!A:A,0)),""))))</f>
        <v>42</v>
      </c>
      <c r="C5" s="14">
        <f>COUNTIF('Hand Coded'!D:D,A5)</f>
        <v>101</v>
      </c>
      <c r="D5" s="15">
        <f t="shared" si="0"/>
        <v>0.41584158415841582</v>
      </c>
    </row>
    <row r="6" spans="1:4" x14ac:dyDescent="0.2">
      <c r="A6" s="11" t="s">
        <v>404</v>
      </c>
      <c r="B6" s="14" cm="1">
        <f t="array" ref="B6">SUMPRODUCT(('Hand Coded'!D$2:D$10000=A6)*(LOWER('Hand Coded'!D$2:D$10000)=LOWER(IFERROR(INDEX('gemini-3.1-flash-lite-preview'!G:G,MATCH('Hand Coded'!A$2:A$10000,'gemini-3.1-flash-lite-preview'!A:A,0)),""))))</f>
        <v>0</v>
      </c>
      <c r="C6" s="14">
        <f>COUNTIF('Hand Coded'!D:D,A6)</f>
        <v>4</v>
      </c>
      <c r="D6" s="15">
        <f t="shared" si="0"/>
        <v>0</v>
      </c>
    </row>
    <row r="7" spans="1:4" x14ac:dyDescent="0.2">
      <c r="A7" s="11" t="s">
        <v>389</v>
      </c>
      <c r="B7" s="14" cm="1">
        <f t="array" ref="B7">SUMPRODUCT(('Hand Coded'!D$2:D$10000=A7)*(LOWER('Hand Coded'!D$2:D$10000)=LOWER(IFERROR(INDEX('gemini-3.1-flash-lite-preview'!G:G,MATCH('Hand Coded'!A$2:A$10000,'gemini-3.1-flash-lite-preview'!A:A,0)),""))))</f>
        <v>0</v>
      </c>
      <c r="C7" s="14">
        <f>COUNTIF('Hand Coded'!D:D,A7)</f>
        <v>0</v>
      </c>
      <c r="D7" s="15" t="str">
        <f t="shared" si="0"/>
        <v/>
      </c>
    </row>
    <row r="8" spans="1:4" x14ac:dyDescent="0.2">
      <c r="A8" s="11" t="s">
        <v>420</v>
      </c>
      <c r="B8" s="14" cm="1">
        <f t="array" ref="B8">SUMPRODUCT(('Hand Coded'!D$2:D$10000=A8)*(LOWER('Hand Coded'!D$2:D$10000)=LOWER(IFERROR(INDEX('gemini-3.1-flash-lite-preview'!G:G,MATCH('Hand Coded'!A$2:A$10000,'gemini-3.1-flash-lite-preview'!A:A,0)),""))))</f>
        <v>0</v>
      </c>
      <c r="C8" s="14">
        <f>COUNTIF('Hand Coded'!D:D,A8)</f>
        <v>5</v>
      </c>
      <c r="D8" s="15">
        <f t="shared" si="0"/>
        <v>0</v>
      </c>
    </row>
    <row r="9" spans="1:4" x14ac:dyDescent="0.2">
      <c r="A9" s="11" t="s">
        <v>399</v>
      </c>
      <c r="B9" s="14" cm="1">
        <f t="array" ref="B9">SUMPRODUCT(('Hand Coded'!D$2:D$10000=A9)*(LOWER('Hand Coded'!D$2:D$10000)=LOWER(IFERROR(INDEX('gemini-3.1-flash-lite-preview'!G:G,MATCH('Hand Coded'!A$2:A$10000,'gemini-3.1-flash-lite-preview'!A:A,0)),""))))</f>
        <v>0</v>
      </c>
      <c r="C9" s="14">
        <f>COUNTIF('Hand Coded'!D:D,A9)</f>
        <v>0</v>
      </c>
      <c r="D9" s="15" t="str">
        <f t="shared" si="0"/>
        <v/>
      </c>
    </row>
    <row r="10" spans="1:4" x14ac:dyDescent="0.2">
      <c r="A10" s="11" t="s">
        <v>402</v>
      </c>
      <c r="B10" s="14" cm="1">
        <f t="array" ref="B10">SUMPRODUCT(('Hand Coded'!D$2:D$10000=A10)*(LOWER('Hand Coded'!D$2:D$10000)=LOWER(IFERROR(INDEX('gemini-3.1-flash-lite-preview'!G:G,MATCH('Hand Coded'!A$2:A$10000,'gemini-3.1-flash-lite-preview'!A:A,0)),""))))</f>
        <v>24</v>
      </c>
      <c r="C10" s="14">
        <f>COUNTIF('Hand Coded'!D:D,A10)</f>
        <v>77</v>
      </c>
      <c r="D10" s="15">
        <f t="shared" si="0"/>
        <v>0.31168831168831168</v>
      </c>
    </row>
    <row r="11" spans="1:4" x14ac:dyDescent="0.2">
      <c r="A11" s="11" t="s">
        <v>428</v>
      </c>
      <c r="B11" s="14" cm="1">
        <f t="array" ref="B11">SUMPRODUCT(('Hand Coded'!D$2:D$10000=A11)*(LOWER('Hand Coded'!D$2:D$10000)=LOWER(IFERROR(INDEX('gemini-3.1-flash-lite-preview'!G:G,MATCH('Hand Coded'!A$2:A$10000,'gemini-3.1-flash-lite-preview'!A:A,0)),""))))</f>
        <v>0</v>
      </c>
      <c r="C11" s="14">
        <f>COUNTIF('Hand Coded'!D:D,A11)</f>
        <v>1</v>
      </c>
      <c r="D11" s="15">
        <f t="shared" si="0"/>
        <v>0</v>
      </c>
    </row>
    <row r="12" spans="1:4" x14ac:dyDescent="0.2">
      <c r="A12" s="11" t="s">
        <v>55</v>
      </c>
      <c r="B12" s="14" cm="1">
        <f t="array" ref="B12">SUMPRODUCT(('Hand Coded'!D$2:D$10000=A12)*(LOWER('Hand Coded'!D$2:D$10000)=LOWER(IFERROR(INDEX('gemini-3.1-flash-lite-preview'!G:G,MATCH('Hand Coded'!A$2:A$10000,'gemini-3.1-flash-lite-preview'!A:A,0)),""))))</f>
        <v>0</v>
      </c>
      <c r="C12" s="14">
        <f>COUNTIF('Hand Coded'!D:D,A12)</f>
        <v>3</v>
      </c>
      <c r="D12" s="15">
        <f t="shared" si="0"/>
        <v>0</v>
      </c>
    </row>
    <row r="13" spans="1:4" x14ac:dyDescent="0.2">
      <c r="A13" s="11" t="s">
        <v>419</v>
      </c>
      <c r="B13" s="14" cm="1">
        <f t="array" ref="B13">SUMPRODUCT(('Hand Coded'!D$2:D$10000=A13)*(LOWER('Hand Coded'!D$2:D$10000)=LOWER(IFERROR(INDEX('gemini-3.1-flash-lite-preview'!G:G,MATCH('Hand Coded'!A$2:A$10000,'gemini-3.1-flash-lite-preview'!A:A,0)),""))))</f>
        <v>0</v>
      </c>
      <c r="C13" s="14">
        <f>COUNTIF('Hand Coded'!D:D,A13)</f>
        <v>2</v>
      </c>
      <c r="D13" s="15">
        <f t="shared" si="0"/>
        <v>0</v>
      </c>
    </row>
    <row r="14" spans="1:4" ht="16" thickBot="1" x14ac:dyDescent="0.25">
      <c r="A14" s="12" t="s">
        <v>390</v>
      </c>
      <c r="B14" s="16" cm="1">
        <f t="array" ref="B14">SUMPRODUCT(('Hand Coded'!D$2:D$10000=A14)*(LOWER('Hand Coded'!D$2:D$10000)=LOWER(IFERROR(INDEX('gemini-3.1-flash-lite-preview'!G:G,MATCH('Hand Coded'!A$2:A$10000,'gemini-3.1-flash-lite-preview'!A:A,0)),""))))</f>
        <v>0</v>
      </c>
      <c r="C14" s="16">
        <f>COUNTIF('Hand Coded'!D:D,A14)</f>
        <v>11</v>
      </c>
      <c r="D14" s="17">
        <f t="shared" si="0"/>
        <v>0</v>
      </c>
    </row>
    <row r="15" spans="1:4" x14ac:dyDescent="0.2">
      <c r="A15" s="13" t="s">
        <v>437</v>
      </c>
      <c r="B15" s="18">
        <f>SUM(B3:B14)</f>
        <v>66</v>
      </c>
      <c r="C15" s="18">
        <f>SUM(C3:C14)</f>
        <v>206</v>
      </c>
      <c r="D15" s="19">
        <f t="shared" si="0"/>
        <v>0.32038834951456313</v>
      </c>
    </row>
    <row r="17" spans="1:4" ht="17" x14ac:dyDescent="0.2">
      <c r="A17" s="9" t="s">
        <v>144</v>
      </c>
    </row>
    <row r="18" spans="1:4" x14ac:dyDescent="0.2">
      <c r="A18" s="10" t="s">
        <v>462</v>
      </c>
      <c r="B18" s="20" t="s">
        <v>434</v>
      </c>
      <c r="C18" s="20" t="s">
        <v>435</v>
      </c>
      <c r="D18" s="21" t="s">
        <v>436</v>
      </c>
    </row>
    <row r="19" spans="1:4" x14ac:dyDescent="0.2">
      <c r="A19" s="11" t="s">
        <v>396</v>
      </c>
      <c r="B19" s="14" cm="1">
        <f t="array" ref="B19">SUMPRODUCT(('Hand Coded'!D$2:D$10000=A19)*(LOWER('Hand Coded'!D$2:D$10000)=LOWER(IFERROR(INDEX('gpt-5.4-mini'!G:G,MATCH('Hand Coded'!A$2:A$10000,'gpt-5.4-mini'!A:A,0)),""))))</f>
        <v>1</v>
      </c>
      <c r="C19" s="14">
        <f>COUNTIF('Hand Coded'!D:D,A19)</f>
        <v>2</v>
      </c>
      <c r="D19" s="15">
        <f t="shared" ref="D19:D31" si="1">IF(C19=0,"",B19/C19)</f>
        <v>0.5</v>
      </c>
    </row>
    <row r="20" spans="1:4" x14ac:dyDescent="0.2">
      <c r="A20" s="11" t="s">
        <v>394</v>
      </c>
      <c r="B20" s="14" cm="1">
        <f t="array" ref="B20">SUMPRODUCT(('Hand Coded'!D$2:D$10000=A20)*(LOWER('Hand Coded'!D$2:D$10000)=LOWER(IFERROR(INDEX('gpt-5.4-mini'!G:G,MATCH('Hand Coded'!A$2:A$10000,'gpt-5.4-mini'!A:A,0)),""))))</f>
        <v>0</v>
      </c>
      <c r="C20" s="14">
        <f>COUNTIF('Hand Coded'!D:D,A20)</f>
        <v>0</v>
      </c>
      <c r="D20" s="15" t="str">
        <f t="shared" si="1"/>
        <v/>
      </c>
    </row>
    <row r="21" spans="1:4" x14ac:dyDescent="0.2">
      <c r="A21" s="11" t="s">
        <v>391</v>
      </c>
      <c r="B21" s="14" cm="1">
        <f t="array" ref="B21">SUMPRODUCT(('Hand Coded'!D$2:D$10000=A21)*(LOWER('Hand Coded'!D$2:D$10000)=LOWER(IFERROR(INDEX('gpt-5.4-mini'!G:G,MATCH('Hand Coded'!A$2:A$10000,'gpt-5.4-mini'!A:A,0)),""))))</f>
        <v>40</v>
      </c>
      <c r="C21" s="14">
        <f>COUNTIF('Hand Coded'!D:D,A21)</f>
        <v>101</v>
      </c>
      <c r="D21" s="15">
        <f t="shared" si="1"/>
        <v>0.39603960396039606</v>
      </c>
    </row>
    <row r="22" spans="1:4" x14ac:dyDescent="0.2">
      <c r="A22" s="11" t="s">
        <v>404</v>
      </c>
      <c r="B22" s="14" cm="1">
        <f t="array" ref="B22">SUMPRODUCT(('Hand Coded'!D$2:D$10000=A22)*(LOWER('Hand Coded'!D$2:D$10000)=LOWER(IFERROR(INDEX('gpt-5.4-mini'!G:G,MATCH('Hand Coded'!A$2:A$10000,'gpt-5.4-mini'!A:A,0)),""))))</f>
        <v>0</v>
      </c>
      <c r="C22" s="14">
        <f>COUNTIF('Hand Coded'!D:D,A22)</f>
        <v>4</v>
      </c>
      <c r="D22" s="15">
        <f t="shared" si="1"/>
        <v>0</v>
      </c>
    </row>
    <row r="23" spans="1:4" x14ac:dyDescent="0.2">
      <c r="A23" s="11" t="s">
        <v>389</v>
      </c>
      <c r="B23" s="14" cm="1">
        <f t="array" ref="B23">SUMPRODUCT(('Hand Coded'!D$2:D$10000=A23)*(LOWER('Hand Coded'!D$2:D$10000)=LOWER(IFERROR(INDEX('gpt-5.4-mini'!G:G,MATCH('Hand Coded'!A$2:A$10000,'gpt-5.4-mini'!A:A,0)),""))))</f>
        <v>0</v>
      </c>
      <c r="C23" s="14">
        <f>COUNTIF('Hand Coded'!D:D,A23)</f>
        <v>0</v>
      </c>
      <c r="D23" s="15" t="str">
        <f t="shared" si="1"/>
        <v/>
      </c>
    </row>
    <row r="24" spans="1:4" x14ac:dyDescent="0.2">
      <c r="A24" s="11" t="s">
        <v>420</v>
      </c>
      <c r="B24" s="14" cm="1">
        <f t="array" ref="B24">SUMPRODUCT(('Hand Coded'!D$2:D$10000=A24)*(LOWER('Hand Coded'!D$2:D$10000)=LOWER(IFERROR(INDEX('gpt-5.4-mini'!G:G,MATCH('Hand Coded'!A$2:A$10000,'gpt-5.4-mini'!A:A,0)),""))))</f>
        <v>0</v>
      </c>
      <c r="C24" s="14">
        <f>COUNTIF('Hand Coded'!D:D,A24)</f>
        <v>5</v>
      </c>
      <c r="D24" s="15">
        <f t="shared" si="1"/>
        <v>0</v>
      </c>
    </row>
    <row r="25" spans="1:4" x14ac:dyDescent="0.2">
      <c r="A25" s="11" t="s">
        <v>399</v>
      </c>
      <c r="B25" s="14" cm="1">
        <f t="array" ref="B25">SUMPRODUCT(('Hand Coded'!D$2:D$10000=A25)*(LOWER('Hand Coded'!D$2:D$10000)=LOWER(IFERROR(INDEX('gpt-5.4-mini'!G:G,MATCH('Hand Coded'!A$2:A$10000,'gpt-5.4-mini'!A:A,0)),""))))</f>
        <v>0</v>
      </c>
      <c r="C25" s="14">
        <f>COUNTIF('Hand Coded'!D:D,A25)</f>
        <v>0</v>
      </c>
      <c r="D25" s="15" t="str">
        <f t="shared" si="1"/>
        <v/>
      </c>
    </row>
    <row r="26" spans="1:4" x14ac:dyDescent="0.2">
      <c r="A26" s="11" t="s">
        <v>402</v>
      </c>
      <c r="B26" s="14" cm="1">
        <f t="array" ref="B26">SUMPRODUCT(('Hand Coded'!D$2:D$10000=A26)*(LOWER('Hand Coded'!D$2:D$10000)=LOWER(IFERROR(INDEX('gpt-5.4-mini'!G:G,MATCH('Hand Coded'!A$2:A$10000,'gpt-5.4-mini'!A:A,0)),""))))</f>
        <v>22</v>
      </c>
      <c r="C26" s="14">
        <f>COUNTIF('Hand Coded'!D:D,A26)</f>
        <v>77</v>
      </c>
      <c r="D26" s="15">
        <f t="shared" si="1"/>
        <v>0.2857142857142857</v>
      </c>
    </row>
    <row r="27" spans="1:4" x14ac:dyDescent="0.2">
      <c r="A27" s="11" t="s">
        <v>428</v>
      </c>
      <c r="B27" s="14" cm="1">
        <f t="array" ref="B27">SUMPRODUCT(('Hand Coded'!D$2:D$10000=A27)*(LOWER('Hand Coded'!D$2:D$10000)=LOWER(IFERROR(INDEX('gpt-5.4-mini'!G:G,MATCH('Hand Coded'!A$2:A$10000,'gpt-5.4-mini'!A:A,0)),""))))</f>
        <v>0</v>
      </c>
      <c r="C27" s="14">
        <f>COUNTIF('Hand Coded'!D:D,A27)</f>
        <v>1</v>
      </c>
      <c r="D27" s="15">
        <f t="shared" si="1"/>
        <v>0</v>
      </c>
    </row>
    <row r="28" spans="1:4" x14ac:dyDescent="0.2">
      <c r="A28" s="11" t="s">
        <v>55</v>
      </c>
      <c r="B28" s="14" cm="1">
        <f t="array" ref="B28">SUMPRODUCT(('Hand Coded'!D$2:D$10000=A28)*(LOWER('Hand Coded'!D$2:D$10000)=LOWER(IFERROR(INDEX('gpt-5.4-mini'!G:G,MATCH('Hand Coded'!A$2:A$10000,'gpt-5.4-mini'!A:A,0)),""))))</f>
        <v>0</v>
      </c>
      <c r="C28" s="14">
        <f>COUNTIF('Hand Coded'!D:D,A28)</f>
        <v>3</v>
      </c>
      <c r="D28" s="15">
        <f t="shared" si="1"/>
        <v>0</v>
      </c>
    </row>
    <row r="29" spans="1:4" x14ac:dyDescent="0.2">
      <c r="A29" s="11" t="s">
        <v>419</v>
      </c>
      <c r="B29" s="14" cm="1">
        <f t="array" ref="B29">SUMPRODUCT(('Hand Coded'!D$2:D$10000=A29)*(LOWER('Hand Coded'!D$2:D$10000)=LOWER(IFERROR(INDEX('gpt-5.4-mini'!G:G,MATCH('Hand Coded'!A$2:A$10000,'gpt-5.4-mini'!A:A,0)),""))))</f>
        <v>0</v>
      </c>
      <c r="C29" s="14">
        <f>COUNTIF('Hand Coded'!D:D,A29)</f>
        <v>2</v>
      </c>
      <c r="D29" s="15">
        <f t="shared" si="1"/>
        <v>0</v>
      </c>
    </row>
    <row r="30" spans="1:4" ht="16" thickBot="1" x14ac:dyDescent="0.25">
      <c r="A30" s="12" t="s">
        <v>390</v>
      </c>
      <c r="B30" s="16" cm="1">
        <f t="array" ref="B30">SUMPRODUCT(('Hand Coded'!D$2:D$10000=A30)*(LOWER('Hand Coded'!D$2:D$10000)=LOWER(IFERROR(INDEX('gpt-5.4-mini'!G:G,MATCH('Hand Coded'!A$2:A$10000,'gpt-5.4-mini'!A:A,0)),""))))</f>
        <v>1</v>
      </c>
      <c r="C30" s="16">
        <f>COUNTIF('Hand Coded'!D:D,A30)</f>
        <v>11</v>
      </c>
      <c r="D30" s="17">
        <f t="shared" si="1"/>
        <v>9.0909090909090912E-2</v>
      </c>
    </row>
    <row r="31" spans="1:4" x14ac:dyDescent="0.2">
      <c r="A31" s="13" t="s">
        <v>437</v>
      </c>
      <c r="B31" s="18">
        <f>SUM(B19:B30)</f>
        <v>64</v>
      </c>
      <c r="C31" s="18">
        <f>SUM(C19:C30)</f>
        <v>206</v>
      </c>
      <c r="D31" s="19">
        <f t="shared" si="1"/>
        <v>0.31067961165048541</v>
      </c>
    </row>
    <row r="33" spans="1:4" ht="17" x14ac:dyDescent="0.2">
      <c r="A33" s="9" t="s">
        <v>255</v>
      </c>
    </row>
    <row r="34" spans="1:4" x14ac:dyDescent="0.2">
      <c r="A34" s="10" t="s">
        <v>462</v>
      </c>
      <c r="B34" s="20" t="s">
        <v>434</v>
      </c>
      <c r="C34" s="20" t="s">
        <v>435</v>
      </c>
      <c r="D34" s="21" t="s">
        <v>436</v>
      </c>
    </row>
    <row r="35" spans="1:4" x14ac:dyDescent="0.2">
      <c r="A35" s="11" t="s">
        <v>396</v>
      </c>
      <c r="B35" s="14" cm="1">
        <f t="array" ref="B35">SUMPRODUCT(('Hand Coded'!D$2:D$10000=A35)*(LOWER('Hand Coded'!D$2:D$10000)=LOWER(IFERROR(INDEX('claude-sonnet-4-6'!G:G,MATCH('Hand Coded'!A$2:A$10000,'claude-sonnet-4-6'!A:A,0)),""))))</f>
        <v>0</v>
      </c>
      <c r="C35" s="14">
        <f>COUNTIF('Hand Coded'!D:D,A35)</f>
        <v>2</v>
      </c>
      <c r="D35" s="15">
        <f t="shared" ref="D35:D47" si="2">IF(C35=0,"",B35/C35)</f>
        <v>0</v>
      </c>
    </row>
    <row r="36" spans="1:4" x14ac:dyDescent="0.2">
      <c r="A36" s="11" t="s">
        <v>394</v>
      </c>
      <c r="B36" s="14" cm="1">
        <f t="array" ref="B36">SUMPRODUCT(('Hand Coded'!D$2:D$10000=A36)*(LOWER('Hand Coded'!D$2:D$10000)=LOWER(IFERROR(INDEX('claude-sonnet-4-6'!G:G,MATCH('Hand Coded'!A$2:A$10000,'claude-sonnet-4-6'!A:A,0)),""))))</f>
        <v>0</v>
      </c>
      <c r="C36" s="14">
        <f>COUNTIF('Hand Coded'!D:D,A36)</f>
        <v>0</v>
      </c>
      <c r="D36" s="15" t="str">
        <f t="shared" si="2"/>
        <v/>
      </c>
    </row>
    <row r="37" spans="1:4" x14ac:dyDescent="0.2">
      <c r="A37" s="11" t="s">
        <v>391</v>
      </c>
      <c r="B37" s="14" cm="1">
        <f t="array" ref="B37">SUMPRODUCT(('Hand Coded'!D$2:D$10000=A37)*(LOWER('Hand Coded'!D$2:D$10000)=LOWER(IFERROR(INDEX('claude-sonnet-4-6'!G:G,MATCH('Hand Coded'!A$2:A$10000,'claude-sonnet-4-6'!A:A,0)),""))))</f>
        <v>100</v>
      </c>
      <c r="C37" s="14">
        <f>COUNTIF('Hand Coded'!D:D,A37)</f>
        <v>101</v>
      </c>
      <c r="D37" s="15">
        <f t="shared" si="2"/>
        <v>0.99009900990099009</v>
      </c>
    </row>
    <row r="38" spans="1:4" x14ac:dyDescent="0.2">
      <c r="A38" s="11" t="s">
        <v>404</v>
      </c>
      <c r="B38" s="14" cm="1">
        <f t="array" ref="B38">SUMPRODUCT(('Hand Coded'!D$2:D$10000=A38)*(LOWER('Hand Coded'!D$2:D$10000)=LOWER(IFERROR(INDEX('claude-sonnet-4-6'!G:G,MATCH('Hand Coded'!A$2:A$10000,'claude-sonnet-4-6'!A:A,0)),""))))</f>
        <v>4</v>
      </c>
      <c r="C38" s="14">
        <f>COUNTIF('Hand Coded'!D:D,A38)</f>
        <v>4</v>
      </c>
      <c r="D38" s="15">
        <f t="shared" si="2"/>
        <v>1</v>
      </c>
    </row>
    <row r="39" spans="1:4" x14ac:dyDescent="0.2">
      <c r="A39" s="11" t="s">
        <v>389</v>
      </c>
      <c r="B39" s="14" cm="1">
        <f t="array" ref="B39">SUMPRODUCT(('Hand Coded'!D$2:D$10000=A39)*(LOWER('Hand Coded'!D$2:D$10000)=LOWER(IFERROR(INDEX('claude-sonnet-4-6'!G:G,MATCH('Hand Coded'!A$2:A$10000,'claude-sonnet-4-6'!A:A,0)),""))))</f>
        <v>0</v>
      </c>
      <c r="C39" s="14">
        <f>COUNTIF('Hand Coded'!D:D,A39)</f>
        <v>0</v>
      </c>
      <c r="D39" s="15" t="str">
        <f t="shared" si="2"/>
        <v/>
      </c>
    </row>
    <row r="40" spans="1:4" x14ac:dyDescent="0.2">
      <c r="A40" s="11" t="s">
        <v>420</v>
      </c>
      <c r="B40" s="14" cm="1">
        <f t="array" ref="B40">SUMPRODUCT(('Hand Coded'!D$2:D$10000=A40)*(LOWER('Hand Coded'!D$2:D$10000)=LOWER(IFERROR(INDEX('claude-sonnet-4-6'!G:G,MATCH('Hand Coded'!A$2:A$10000,'claude-sonnet-4-6'!A:A,0)),""))))</f>
        <v>3</v>
      </c>
      <c r="C40" s="14">
        <f>COUNTIF('Hand Coded'!D:D,A40)</f>
        <v>5</v>
      </c>
      <c r="D40" s="15">
        <f t="shared" si="2"/>
        <v>0.6</v>
      </c>
    </row>
    <row r="41" spans="1:4" x14ac:dyDescent="0.2">
      <c r="A41" s="11" t="s">
        <v>399</v>
      </c>
      <c r="B41" s="14" cm="1">
        <f t="array" ref="B41">SUMPRODUCT(('Hand Coded'!D$2:D$10000=A41)*(LOWER('Hand Coded'!D$2:D$10000)=LOWER(IFERROR(INDEX('claude-sonnet-4-6'!G:G,MATCH('Hand Coded'!A$2:A$10000,'claude-sonnet-4-6'!A:A,0)),""))))</f>
        <v>0</v>
      </c>
      <c r="C41" s="14">
        <f>COUNTIF('Hand Coded'!D:D,A41)</f>
        <v>0</v>
      </c>
      <c r="D41" s="15" t="str">
        <f t="shared" si="2"/>
        <v/>
      </c>
    </row>
    <row r="42" spans="1:4" x14ac:dyDescent="0.2">
      <c r="A42" s="11" t="s">
        <v>402</v>
      </c>
      <c r="B42" s="14" cm="1">
        <f t="array" ref="B42">SUMPRODUCT(('Hand Coded'!D$2:D$10000=A42)*(LOWER('Hand Coded'!D$2:D$10000)=LOWER(IFERROR(INDEX('claude-sonnet-4-6'!G:G,MATCH('Hand Coded'!A$2:A$10000,'claude-sonnet-4-6'!A:A,0)),""))))</f>
        <v>60</v>
      </c>
      <c r="C42" s="14">
        <f>COUNTIF('Hand Coded'!D:D,A42)</f>
        <v>77</v>
      </c>
      <c r="D42" s="15">
        <f t="shared" si="2"/>
        <v>0.77922077922077926</v>
      </c>
    </row>
    <row r="43" spans="1:4" x14ac:dyDescent="0.2">
      <c r="A43" s="11" t="s">
        <v>428</v>
      </c>
      <c r="B43" s="14" cm="1">
        <f t="array" ref="B43">SUMPRODUCT(('Hand Coded'!D$2:D$10000=A43)*(LOWER('Hand Coded'!D$2:D$10000)=LOWER(IFERROR(INDEX('claude-sonnet-4-6'!G:G,MATCH('Hand Coded'!A$2:A$10000,'claude-sonnet-4-6'!A:A,0)),""))))</f>
        <v>1</v>
      </c>
      <c r="C43" s="14">
        <f>COUNTIF('Hand Coded'!D:D,A43)</f>
        <v>1</v>
      </c>
      <c r="D43" s="15">
        <f t="shared" si="2"/>
        <v>1</v>
      </c>
    </row>
    <row r="44" spans="1:4" x14ac:dyDescent="0.2">
      <c r="A44" s="11" t="s">
        <v>55</v>
      </c>
      <c r="B44" s="14" cm="1">
        <f t="array" ref="B44">SUMPRODUCT(('Hand Coded'!D$2:D$10000=A44)*(LOWER('Hand Coded'!D$2:D$10000)=LOWER(IFERROR(INDEX('claude-sonnet-4-6'!G:G,MATCH('Hand Coded'!A$2:A$10000,'claude-sonnet-4-6'!A:A,0)),""))))</f>
        <v>0</v>
      </c>
      <c r="C44" s="14">
        <f>COUNTIF('Hand Coded'!D:D,A44)</f>
        <v>3</v>
      </c>
      <c r="D44" s="15">
        <f t="shared" si="2"/>
        <v>0</v>
      </c>
    </row>
    <row r="45" spans="1:4" x14ac:dyDescent="0.2">
      <c r="A45" s="11" t="s">
        <v>419</v>
      </c>
      <c r="B45" s="14" cm="1">
        <f t="array" ref="B45">SUMPRODUCT(('Hand Coded'!D$2:D$10000=A45)*(LOWER('Hand Coded'!D$2:D$10000)=LOWER(IFERROR(INDEX('claude-sonnet-4-6'!G:G,MATCH('Hand Coded'!A$2:A$10000,'claude-sonnet-4-6'!A:A,0)),""))))</f>
        <v>2</v>
      </c>
      <c r="C45" s="14">
        <f>COUNTIF('Hand Coded'!D:D,A45)</f>
        <v>2</v>
      </c>
      <c r="D45" s="15">
        <f t="shared" si="2"/>
        <v>1</v>
      </c>
    </row>
    <row r="46" spans="1:4" ht="16" thickBot="1" x14ac:dyDescent="0.25">
      <c r="A46" s="12" t="s">
        <v>390</v>
      </c>
      <c r="B46" s="16" cm="1">
        <f t="array" ref="B46">SUMPRODUCT(('Hand Coded'!D$2:D$10000=A46)*(LOWER('Hand Coded'!D$2:D$10000)=LOWER(IFERROR(INDEX('claude-sonnet-4-6'!G:G,MATCH('Hand Coded'!A$2:A$10000,'claude-sonnet-4-6'!A:A,0)),""))))</f>
        <v>3</v>
      </c>
      <c r="C46" s="16">
        <f>COUNTIF('Hand Coded'!D:D,A46)</f>
        <v>11</v>
      </c>
      <c r="D46" s="17">
        <f t="shared" si="2"/>
        <v>0.27272727272727271</v>
      </c>
    </row>
    <row r="47" spans="1:4" x14ac:dyDescent="0.2">
      <c r="A47" s="13" t="s">
        <v>437</v>
      </c>
      <c r="B47" s="18">
        <f>SUM(B35:B46)</f>
        <v>173</v>
      </c>
      <c r="C47" s="18">
        <f>SUM(C35:C46)</f>
        <v>206</v>
      </c>
      <c r="D47" s="19">
        <f t="shared" si="2"/>
        <v>0.83980582524271841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6A50-9216-F349-B74A-45AFFDABA3FB}">
  <dimension ref="A1:D47"/>
  <sheetViews>
    <sheetView topLeftCell="A15" workbookViewId="0"/>
  </sheetViews>
  <sheetFormatPr baseColWidth="10" defaultRowHeight="15" x14ac:dyDescent="0.2"/>
  <cols>
    <col min="1" max="1" width="28" bestFit="1" customWidth="1"/>
    <col min="2" max="2" width="13.6640625" bestFit="1" customWidth="1"/>
    <col min="3" max="3" width="26.6640625" bestFit="1" customWidth="1"/>
    <col min="4" max="4" width="8.5" bestFit="1" customWidth="1"/>
  </cols>
  <sheetData>
    <row r="1" spans="1:4" ht="17" x14ac:dyDescent="0.2">
      <c r="A1" s="9" t="s">
        <v>11</v>
      </c>
    </row>
    <row r="2" spans="1:4" x14ac:dyDescent="0.2">
      <c r="A2" s="10" t="s">
        <v>462</v>
      </c>
      <c r="B2" s="20" t="s">
        <v>434</v>
      </c>
      <c r="C2" s="20" t="s">
        <v>435</v>
      </c>
      <c r="D2" s="21" t="s">
        <v>436</v>
      </c>
    </row>
    <row r="3" spans="1:4" x14ac:dyDescent="0.2">
      <c r="A3" s="11" t="s">
        <v>425</v>
      </c>
      <c r="B3" s="14" cm="1">
        <f t="array" ref="B3">SUMPRODUCT(('Hand Coded'!E$2:E$10000=A3)*(LOWER('Hand Coded'!E$2:E$10000)=LOWER(IFERROR(INDEX('gemini-3.1-flash-lite-preview'!H:H,MATCH('Hand Coded'!A$2:A$10000,'gemini-3.1-flash-lite-preview'!A:A,0)),""))))</f>
        <v>0</v>
      </c>
      <c r="C3" s="14">
        <f>COUNTIF('Hand Coded'!E:E,A3)</f>
        <v>0</v>
      </c>
      <c r="D3" s="15" t="str">
        <f t="shared" ref="D3:D15" si="0">IF(C3=0,"",B3/C3)</f>
        <v/>
      </c>
    </row>
    <row r="4" spans="1:4" x14ac:dyDescent="0.2">
      <c r="A4" s="11" t="s">
        <v>56</v>
      </c>
      <c r="B4" s="14" cm="1">
        <f t="array" ref="B4">SUMPRODUCT(('Hand Coded'!E$2:E$10000=A4)*(LOWER('Hand Coded'!E$2:E$10000)=LOWER(IFERROR(INDEX('gemini-3.1-flash-lite-preview'!H:H,MATCH('Hand Coded'!A$2:A$10000,'gemini-3.1-flash-lite-preview'!A:A,0)),""))))</f>
        <v>18</v>
      </c>
      <c r="C4" s="14">
        <f>COUNTIF('Hand Coded'!E:E,A4)</f>
        <v>30</v>
      </c>
      <c r="D4" s="15">
        <f t="shared" si="0"/>
        <v>0.6</v>
      </c>
    </row>
    <row r="5" spans="1:4" x14ac:dyDescent="0.2">
      <c r="A5" s="11" t="s">
        <v>409</v>
      </c>
      <c r="B5" s="14" cm="1">
        <f t="array" ref="B5">SUMPRODUCT(('Hand Coded'!E$2:E$10000=A5)*(LOWER('Hand Coded'!E$2:E$10000)=LOWER(IFERROR(INDEX('gemini-3.1-flash-lite-preview'!H:H,MATCH('Hand Coded'!A$2:A$10000,'gemini-3.1-flash-lite-preview'!A:A,0)),""))))</f>
        <v>0</v>
      </c>
      <c r="C5" s="14">
        <f>COUNTIF('Hand Coded'!E:E,A5)</f>
        <v>0</v>
      </c>
      <c r="D5" s="15" t="str">
        <f t="shared" si="0"/>
        <v/>
      </c>
    </row>
    <row r="6" spans="1:4" x14ac:dyDescent="0.2">
      <c r="A6" s="11" t="s">
        <v>21</v>
      </c>
      <c r="B6" s="14" cm="1">
        <f t="array" ref="B6">SUMPRODUCT(('Hand Coded'!E$2:E$10000=A6)*(LOWER('Hand Coded'!E$2:E$10000)=LOWER(IFERROR(INDEX('gemini-3.1-flash-lite-preview'!H:H,MATCH('Hand Coded'!A$2:A$10000,'gemini-3.1-flash-lite-preview'!A:A,0)),""))))</f>
        <v>62</v>
      </c>
      <c r="C6" s="14">
        <f>COUNTIF('Hand Coded'!E:E,A6)</f>
        <v>76</v>
      </c>
      <c r="D6" s="15">
        <f t="shared" si="0"/>
        <v>0.81578947368421051</v>
      </c>
    </row>
    <row r="7" spans="1:4" x14ac:dyDescent="0.2">
      <c r="A7" s="11" t="s">
        <v>410</v>
      </c>
      <c r="B7" s="14" cm="1">
        <f t="array" ref="B7">SUMPRODUCT(('Hand Coded'!E$2:E$10000=A7)*(LOWER('Hand Coded'!E$2:E$10000)=LOWER(IFERROR(INDEX('gemini-3.1-flash-lite-preview'!H:H,MATCH('Hand Coded'!A$2:A$10000,'gemini-3.1-flash-lite-preview'!A:A,0)),""))))</f>
        <v>0</v>
      </c>
      <c r="C7" s="14">
        <f>COUNTIF('Hand Coded'!E:E,A7)</f>
        <v>0</v>
      </c>
      <c r="D7" s="15" t="str">
        <f t="shared" si="0"/>
        <v/>
      </c>
    </row>
    <row r="8" spans="1:4" x14ac:dyDescent="0.2">
      <c r="A8" s="11" t="s">
        <v>44</v>
      </c>
      <c r="B8" s="14" cm="1">
        <f t="array" ref="B8">SUMPRODUCT(('Hand Coded'!E$2:E$10000=A8)*(LOWER('Hand Coded'!E$2:E$10000)=LOWER(IFERROR(INDEX('gemini-3.1-flash-lite-preview'!H:H,MATCH('Hand Coded'!A$2:A$10000,'gemini-3.1-flash-lite-preview'!A:A,0)),""))))</f>
        <v>5</v>
      </c>
      <c r="C8" s="14">
        <f>COUNTIF('Hand Coded'!E:E,A8)</f>
        <v>7</v>
      </c>
      <c r="D8" s="15">
        <f t="shared" si="0"/>
        <v>0.7142857142857143</v>
      </c>
    </row>
    <row r="9" spans="1:4" x14ac:dyDescent="0.2">
      <c r="A9" s="11" t="s">
        <v>14</v>
      </c>
      <c r="B9" s="14" cm="1">
        <f t="array" ref="B9">SUMPRODUCT(('Hand Coded'!E$2:E$10000=A9)*(LOWER('Hand Coded'!E$2:E$10000)=LOWER(IFERROR(INDEX('gemini-3.1-flash-lite-preview'!H:H,MATCH('Hand Coded'!A$2:A$10000,'gemini-3.1-flash-lite-preview'!A:A,0)),""))))</f>
        <v>25</v>
      </c>
      <c r="C9" s="14">
        <f>COUNTIF('Hand Coded'!E:E,A9)</f>
        <v>28</v>
      </c>
      <c r="D9" s="15">
        <f t="shared" si="0"/>
        <v>0.8928571428571429</v>
      </c>
    </row>
    <row r="10" spans="1:4" x14ac:dyDescent="0.2">
      <c r="A10" s="11" t="s">
        <v>429</v>
      </c>
      <c r="B10" s="14" cm="1">
        <f t="array" ref="B10">SUMPRODUCT(('Hand Coded'!E$2:E$10000=A10)*(LOWER('Hand Coded'!E$2:E$10000)=LOWER(IFERROR(INDEX('gemini-3.1-flash-lite-preview'!H:H,MATCH('Hand Coded'!A$2:A$10000,'gemini-3.1-flash-lite-preview'!A:A,0)),""))))</f>
        <v>0</v>
      </c>
      <c r="C10" s="14">
        <f>COUNTIF('Hand Coded'!E:E,A10)</f>
        <v>11</v>
      </c>
      <c r="D10" s="15">
        <f t="shared" si="0"/>
        <v>0</v>
      </c>
    </row>
    <row r="11" spans="1:4" x14ac:dyDescent="0.2">
      <c r="A11" s="11" t="s">
        <v>92</v>
      </c>
      <c r="B11" s="14" cm="1">
        <f t="array" ref="B11">SUMPRODUCT(('Hand Coded'!E$2:E$10000=A11)*(LOWER('Hand Coded'!E$2:E$10000)=LOWER(IFERROR(INDEX('gemini-3.1-flash-lite-preview'!H:H,MATCH('Hand Coded'!A$2:A$10000,'gemini-3.1-flash-lite-preview'!A:A,0)),""))))</f>
        <v>0</v>
      </c>
      <c r="C11" s="14">
        <f>COUNTIF('Hand Coded'!E:E,A11)</f>
        <v>1</v>
      </c>
      <c r="D11" s="15">
        <f t="shared" si="0"/>
        <v>0</v>
      </c>
    </row>
    <row r="12" spans="1:4" x14ac:dyDescent="0.2">
      <c r="A12" s="11" t="s">
        <v>28</v>
      </c>
      <c r="B12" s="14" cm="1">
        <f t="array" ref="B12">SUMPRODUCT(('Hand Coded'!E$2:E$10000=A12)*(LOWER('Hand Coded'!E$2:E$10000)=LOWER(IFERROR(INDEX('gemini-3.1-flash-lite-preview'!H:H,MATCH('Hand Coded'!A$2:A$10000,'gemini-3.1-flash-lite-preview'!A:A,0)),""))))</f>
        <v>57</v>
      </c>
      <c r="C12" s="14">
        <f>COUNTIF('Hand Coded'!E:E,A12)</f>
        <v>75</v>
      </c>
      <c r="D12" s="15">
        <f t="shared" si="0"/>
        <v>0.76</v>
      </c>
    </row>
    <row r="13" spans="1:4" x14ac:dyDescent="0.2">
      <c r="A13" s="11" t="s">
        <v>76</v>
      </c>
      <c r="B13" s="14" cm="1">
        <f t="array" ref="B13">SUMPRODUCT(('Hand Coded'!E$2:E$10000=A13)*(LOWER('Hand Coded'!E$2:E$10000)=LOWER(IFERROR(INDEX('gemini-3.1-flash-lite-preview'!H:H,MATCH('Hand Coded'!A$2:A$10000,'gemini-3.1-flash-lite-preview'!A:A,0)),""))))</f>
        <v>1</v>
      </c>
      <c r="C13" s="14">
        <f>COUNTIF('Hand Coded'!E:E,A13)</f>
        <v>3</v>
      </c>
      <c r="D13" s="15">
        <f t="shared" si="0"/>
        <v>0.33333333333333331</v>
      </c>
    </row>
    <row r="14" spans="1:4" ht="16" thickBot="1" x14ac:dyDescent="0.25">
      <c r="A14" s="12" t="s">
        <v>390</v>
      </c>
      <c r="B14" s="16" cm="1">
        <f t="array" ref="B14">SUMPRODUCT(('Hand Coded'!E$2:E$10000=A14)*(LOWER('Hand Coded'!E$2:E$10000)=LOWER(IFERROR(INDEX('gemini-3.1-flash-lite-preview'!H:H,MATCH('Hand Coded'!A$2:A$10000,'gemini-3.1-flash-lite-preview'!A:A,0)),""))))</f>
        <v>0</v>
      </c>
      <c r="C14" s="16">
        <f>COUNTIF('Hand Coded'!E:E,A14)</f>
        <v>2</v>
      </c>
      <c r="D14" s="17">
        <f t="shared" si="0"/>
        <v>0</v>
      </c>
    </row>
    <row r="15" spans="1:4" x14ac:dyDescent="0.2">
      <c r="A15" s="13" t="s">
        <v>437</v>
      </c>
      <c r="B15" s="18">
        <f>SUM(B3:B14)</f>
        <v>168</v>
      </c>
      <c r="C15" s="18">
        <f>SUM(C3:C14)</f>
        <v>233</v>
      </c>
      <c r="D15" s="19">
        <f t="shared" si="0"/>
        <v>0.72103004291845496</v>
      </c>
    </row>
    <row r="17" spans="1:4" ht="17" x14ac:dyDescent="0.2">
      <c r="A17" s="9" t="s">
        <v>144</v>
      </c>
    </row>
    <row r="18" spans="1:4" x14ac:dyDescent="0.2">
      <c r="A18" s="10" t="s">
        <v>462</v>
      </c>
      <c r="B18" s="20" t="s">
        <v>434</v>
      </c>
      <c r="C18" s="20" t="s">
        <v>435</v>
      </c>
      <c r="D18" s="21" t="s">
        <v>436</v>
      </c>
    </row>
    <row r="19" spans="1:4" x14ac:dyDescent="0.2">
      <c r="A19" s="11" t="s">
        <v>425</v>
      </c>
      <c r="B19" s="14" cm="1">
        <f t="array" ref="B19">SUMPRODUCT(('Hand Coded'!E$2:E$10000=A19)*(LOWER('Hand Coded'!E$2:E$10000)=LOWER(IFERROR(INDEX('gpt-5.4-mini'!H:H,MATCH('Hand Coded'!A$2:A$10000,'gpt-5.4-mini'!A:A,0)),""))))</f>
        <v>0</v>
      </c>
      <c r="C19" s="14">
        <f>COUNTIF('Hand Coded'!E:E,A19)</f>
        <v>0</v>
      </c>
      <c r="D19" s="15" t="str">
        <f t="shared" ref="D19:D31" si="1">IF(C19=0,"",B19/C19)</f>
        <v/>
      </c>
    </row>
    <row r="20" spans="1:4" x14ac:dyDescent="0.2">
      <c r="A20" s="11" t="s">
        <v>56</v>
      </c>
      <c r="B20" s="14" cm="1">
        <f t="array" ref="B20">SUMPRODUCT(('Hand Coded'!E$2:E$10000=A20)*(LOWER('Hand Coded'!E$2:E$10000)=LOWER(IFERROR(INDEX('gpt-5.4-mini'!H:H,MATCH('Hand Coded'!A$2:A$10000,'gpt-5.4-mini'!A:A,0)),""))))</f>
        <v>23</v>
      </c>
      <c r="C20" s="14">
        <f>COUNTIF('Hand Coded'!E:E,A20)</f>
        <v>30</v>
      </c>
      <c r="D20" s="15">
        <f t="shared" si="1"/>
        <v>0.76666666666666672</v>
      </c>
    </row>
    <row r="21" spans="1:4" x14ac:dyDescent="0.2">
      <c r="A21" s="11" t="s">
        <v>409</v>
      </c>
      <c r="B21" s="14" cm="1">
        <f t="array" ref="B21">SUMPRODUCT(('Hand Coded'!E$2:E$10000=A21)*(LOWER('Hand Coded'!E$2:E$10000)=LOWER(IFERROR(INDEX('gpt-5.4-mini'!H:H,MATCH('Hand Coded'!A$2:A$10000,'gpt-5.4-mini'!A:A,0)),""))))</f>
        <v>0</v>
      </c>
      <c r="C21" s="14">
        <f>COUNTIF('Hand Coded'!E:E,A21)</f>
        <v>0</v>
      </c>
      <c r="D21" s="15" t="str">
        <f t="shared" si="1"/>
        <v/>
      </c>
    </row>
    <row r="22" spans="1:4" x14ac:dyDescent="0.2">
      <c r="A22" s="11" t="s">
        <v>21</v>
      </c>
      <c r="B22" s="14" cm="1">
        <f t="array" ref="B22">SUMPRODUCT(('Hand Coded'!E$2:E$10000=A22)*(LOWER('Hand Coded'!E$2:E$10000)=LOWER(IFERROR(INDEX('gpt-5.4-mini'!H:H,MATCH('Hand Coded'!A$2:A$10000,'gpt-5.4-mini'!A:A,0)),""))))</f>
        <v>67</v>
      </c>
      <c r="C22" s="14">
        <f>COUNTIF('Hand Coded'!E:E,A22)</f>
        <v>76</v>
      </c>
      <c r="D22" s="15">
        <f t="shared" si="1"/>
        <v>0.88157894736842102</v>
      </c>
    </row>
    <row r="23" spans="1:4" x14ac:dyDescent="0.2">
      <c r="A23" s="11" t="s">
        <v>410</v>
      </c>
      <c r="B23" s="14" cm="1">
        <f t="array" ref="B23">SUMPRODUCT(('Hand Coded'!E$2:E$10000=A23)*(LOWER('Hand Coded'!E$2:E$10000)=LOWER(IFERROR(INDEX('gpt-5.4-mini'!H:H,MATCH('Hand Coded'!A$2:A$10000,'gpt-5.4-mini'!A:A,0)),""))))</f>
        <v>0</v>
      </c>
      <c r="C23" s="14">
        <f>COUNTIF('Hand Coded'!E:E,A23)</f>
        <v>0</v>
      </c>
      <c r="D23" s="15" t="str">
        <f t="shared" si="1"/>
        <v/>
      </c>
    </row>
    <row r="24" spans="1:4" x14ac:dyDescent="0.2">
      <c r="A24" s="11" t="s">
        <v>44</v>
      </c>
      <c r="B24" s="14" cm="1">
        <f t="array" ref="B24">SUMPRODUCT(('Hand Coded'!E$2:E$10000=A24)*(LOWER('Hand Coded'!E$2:E$10000)=LOWER(IFERROR(INDEX('gpt-5.4-mini'!H:H,MATCH('Hand Coded'!A$2:A$10000,'gpt-5.4-mini'!A:A,0)),""))))</f>
        <v>2</v>
      </c>
      <c r="C24" s="14">
        <f>COUNTIF('Hand Coded'!E:E,A24)</f>
        <v>7</v>
      </c>
      <c r="D24" s="15">
        <f t="shared" si="1"/>
        <v>0.2857142857142857</v>
      </c>
    </row>
    <row r="25" spans="1:4" x14ac:dyDescent="0.2">
      <c r="A25" s="11" t="s">
        <v>14</v>
      </c>
      <c r="B25" s="14" cm="1">
        <f t="array" ref="B25">SUMPRODUCT(('Hand Coded'!E$2:E$10000=A25)*(LOWER('Hand Coded'!E$2:E$10000)=LOWER(IFERROR(INDEX('gpt-5.4-mini'!H:H,MATCH('Hand Coded'!A$2:A$10000,'gpt-5.4-mini'!A:A,0)),""))))</f>
        <v>17</v>
      </c>
      <c r="C25" s="14">
        <f>COUNTIF('Hand Coded'!E:E,A25)</f>
        <v>28</v>
      </c>
      <c r="D25" s="15">
        <f t="shared" si="1"/>
        <v>0.6071428571428571</v>
      </c>
    </row>
    <row r="26" spans="1:4" x14ac:dyDescent="0.2">
      <c r="A26" s="11" t="s">
        <v>429</v>
      </c>
      <c r="B26" s="14" cm="1">
        <f t="array" ref="B26">SUMPRODUCT(('Hand Coded'!E$2:E$10000=A26)*(LOWER('Hand Coded'!E$2:E$10000)=LOWER(IFERROR(INDEX('gpt-5.4-mini'!H:H,MATCH('Hand Coded'!A$2:A$10000,'gpt-5.4-mini'!A:A,0)),""))))</f>
        <v>0</v>
      </c>
      <c r="C26" s="14">
        <f>COUNTIF('Hand Coded'!E:E,A26)</f>
        <v>11</v>
      </c>
      <c r="D26" s="15">
        <f t="shared" si="1"/>
        <v>0</v>
      </c>
    </row>
    <row r="27" spans="1:4" x14ac:dyDescent="0.2">
      <c r="A27" s="11" t="s">
        <v>92</v>
      </c>
      <c r="B27" s="14" cm="1">
        <f t="array" ref="B27">SUMPRODUCT(('Hand Coded'!E$2:E$10000=A27)*(LOWER('Hand Coded'!E$2:E$10000)=LOWER(IFERROR(INDEX('gpt-5.4-mini'!H:H,MATCH('Hand Coded'!A$2:A$10000,'gpt-5.4-mini'!A:A,0)),""))))</f>
        <v>0</v>
      </c>
      <c r="C27" s="14">
        <f>COUNTIF('Hand Coded'!E:E,A27)</f>
        <v>1</v>
      </c>
      <c r="D27" s="15">
        <f t="shared" si="1"/>
        <v>0</v>
      </c>
    </row>
    <row r="28" spans="1:4" x14ac:dyDescent="0.2">
      <c r="A28" s="11" t="s">
        <v>28</v>
      </c>
      <c r="B28" s="14" cm="1">
        <f t="array" ref="B28">SUMPRODUCT(('Hand Coded'!E$2:E$10000=A28)*(LOWER('Hand Coded'!E$2:E$10000)=LOWER(IFERROR(INDEX('gpt-5.4-mini'!H:H,MATCH('Hand Coded'!A$2:A$10000,'gpt-5.4-mini'!A:A,0)),""))))</f>
        <v>57</v>
      </c>
      <c r="C28" s="14">
        <f>COUNTIF('Hand Coded'!E:E,A28)</f>
        <v>75</v>
      </c>
      <c r="D28" s="15">
        <f t="shared" si="1"/>
        <v>0.76</v>
      </c>
    </row>
    <row r="29" spans="1:4" x14ac:dyDescent="0.2">
      <c r="A29" s="11" t="s">
        <v>76</v>
      </c>
      <c r="B29" s="14" cm="1">
        <f t="array" ref="B29">SUMPRODUCT(('Hand Coded'!E$2:E$10000=A29)*(LOWER('Hand Coded'!E$2:E$10000)=LOWER(IFERROR(INDEX('gpt-5.4-mini'!H:H,MATCH('Hand Coded'!A$2:A$10000,'gpt-5.4-mini'!A:A,0)),""))))</f>
        <v>1</v>
      </c>
      <c r="C29" s="14">
        <f>COUNTIF('Hand Coded'!E:E,A29)</f>
        <v>3</v>
      </c>
      <c r="D29" s="15">
        <f t="shared" si="1"/>
        <v>0.33333333333333331</v>
      </c>
    </row>
    <row r="30" spans="1:4" ht="16" thickBot="1" x14ac:dyDescent="0.25">
      <c r="A30" s="12" t="s">
        <v>390</v>
      </c>
      <c r="B30" s="16" cm="1">
        <f t="array" ref="B30">SUMPRODUCT(('Hand Coded'!E$2:E$10000=A30)*(LOWER('Hand Coded'!E$2:E$10000)=LOWER(IFERROR(INDEX('gpt-5.4-mini'!H:H,MATCH('Hand Coded'!A$2:A$10000,'gpt-5.4-mini'!A:A,0)),""))))</f>
        <v>2</v>
      </c>
      <c r="C30" s="16">
        <f>COUNTIF('Hand Coded'!E:E,A30)</f>
        <v>2</v>
      </c>
      <c r="D30" s="17">
        <f t="shared" si="1"/>
        <v>1</v>
      </c>
    </row>
    <row r="31" spans="1:4" x14ac:dyDescent="0.2">
      <c r="A31" s="13" t="s">
        <v>437</v>
      </c>
      <c r="B31" s="18">
        <f>SUM(B19:B30)</f>
        <v>169</v>
      </c>
      <c r="C31" s="18">
        <f>SUM(C19:C30)</f>
        <v>233</v>
      </c>
      <c r="D31" s="19">
        <f t="shared" si="1"/>
        <v>0.72532188841201717</v>
      </c>
    </row>
    <row r="33" spans="1:4" ht="17" x14ac:dyDescent="0.2">
      <c r="A33" s="9" t="s">
        <v>255</v>
      </c>
    </row>
    <row r="34" spans="1:4" x14ac:dyDescent="0.2">
      <c r="A34" s="10" t="s">
        <v>462</v>
      </c>
      <c r="B34" s="20" t="s">
        <v>434</v>
      </c>
      <c r="C34" s="20" t="s">
        <v>435</v>
      </c>
      <c r="D34" s="21" t="s">
        <v>436</v>
      </c>
    </row>
    <row r="35" spans="1:4" x14ac:dyDescent="0.2">
      <c r="A35" s="11" t="s">
        <v>425</v>
      </c>
      <c r="B35" s="14" cm="1">
        <f t="array" ref="B35">SUMPRODUCT(('Hand Coded'!E$2:E$10000=A35)*(LOWER('Hand Coded'!E$2:E$10000)=LOWER(IFERROR(INDEX('claude-sonnet-4-6'!H:H,MATCH('Hand Coded'!A$2:A$10000,'claude-sonnet-4-6'!A:A,0)),""))))</f>
        <v>0</v>
      </c>
      <c r="C35" s="14">
        <f>COUNTIF('Hand Coded'!E:E,A35)</f>
        <v>0</v>
      </c>
      <c r="D35" s="15" t="str">
        <f t="shared" ref="D35:D47" si="2">IF(C35=0,"",B35/C35)</f>
        <v/>
      </c>
    </row>
    <row r="36" spans="1:4" x14ac:dyDescent="0.2">
      <c r="A36" s="11" t="s">
        <v>56</v>
      </c>
      <c r="B36" s="14" cm="1">
        <f t="array" ref="B36">SUMPRODUCT(('Hand Coded'!E$2:E$10000=A36)*(LOWER('Hand Coded'!E$2:E$10000)=LOWER(IFERROR(INDEX('claude-sonnet-4-6'!H:H,MATCH('Hand Coded'!A$2:A$10000,'claude-sonnet-4-6'!A:A,0)),""))))</f>
        <v>22</v>
      </c>
      <c r="C36" s="14">
        <f>COUNTIF('Hand Coded'!E:E,A36)</f>
        <v>30</v>
      </c>
      <c r="D36" s="15">
        <f t="shared" si="2"/>
        <v>0.73333333333333328</v>
      </c>
    </row>
    <row r="37" spans="1:4" x14ac:dyDescent="0.2">
      <c r="A37" s="11" t="s">
        <v>409</v>
      </c>
      <c r="B37" s="14" cm="1">
        <f t="array" ref="B37">SUMPRODUCT(('Hand Coded'!E$2:E$10000=A37)*(LOWER('Hand Coded'!E$2:E$10000)=LOWER(IFERROR(INDEX('claude-sonnet-4-6'!H:H,MATCH('Hand Coded'!A$2:A$10000,'claude-sonnet-4-6'!A:A,0)),""))))</f>
        <v>0</v>
      </c>
      <c r="C37" s="14">
        <f>COUNTIF('Hand Coded'!E:E,A37)</f>
        <v>0</v>
      </c>
      <c r="D37" s="15" t="str">
        <f t="shared" si="2"/>
        <v/>
      </c>
    </row>
    <row r="38" spans="1:4" x14ac:dyDescent="0.2">
      <c r="A38" s="11" t="s">
        <v>21</v>
      </c>
      <c r="B38" s="14" cm="1">
        <f t="array" ref="B38">SUMPRODUCT(('Hand Coded'!E$2:E$10000=A38)*(LOWER('Hand Coded'!E$2:E$10000)=LOWER(IFERROR(INDEX('claude-sonnet-4-6'!H:H,MATCH('Hand Coded'!A$2:A$10000,'claude-sonnet-4-6'!A:A,0)),""))))</f>
        <v>73</v>
      </c>
      <c r="C38" s="14">
        <f>COUNTIF('Hand Coded'!E:E,A38)</f>
        <v>76</v>
      </c>
      <c r="D38" s="15">
        <f t="shared" si="2"/>
        <v>0.96052631578947367</v>
      </c>
    </row>
    <row r="39" spans="1:4" x14ac:dyDescent="0.2">
      <c r="A39" s="11" t="s">
        <v>410</v>
      </c>
      <c r="B39" s="14" cm="1">
        <f t="array" ref="B39">SUMPRODUCT(('Hand Coded'!E$2:E$10000=A39)*(LOWER('Hand Coded'!E$2:E$10000)=LOWER(IFERROR(INDEX('claude-sonnet-4-6'!H:H,MATCH('Hand Coded'!A$2:A$10000,'claude-sonnet-4-6'!A:A,0)),""))))</f>
        <v>0</v>
      </c>
      <c r="C39" s="14">
        <f>COUNTIF('Hand Coded'!E:E,A39)</f>
        <v>0</v>
      </c>
      <c r="D39" s="15" t="str">
        <f t="shared" si="2"/>
        <v/>
      </c>
    </row>
    <row r="40" spans="1:4" x14ac:dyDescent="0.2">
      <c r="A40" s="11" t="s">
        <v>44</v>
      </c>
      <c r="B40" s="14" cm="1">
        <f t="array" ref="B40">SUMPRODUCT(('Hand Coded'!E$2:E$10000=A40)*(LOWER('Hand Coded'!E$2:E$10000)=LOWER(IFERROR(INDEX('claude-sonnet-4-6'!H:H,MATCH('Hand Coded'!A$2:A$10000,'claude-sonnet-4-6'!A:A,0)),""))))</f>
        <v>6</v>
      </c>
      <c r="C40" s="14">
        <f>COUNTIF('Hand Coded'!E:E,A40)</f>
        <v>7</v>
      </c>
      <c r="D40" s="15">
        <f t="shared" si="2"/>
        <v>0.8571428571428571</v>
      </c>
    </row>
    <row r="41" spans="1:4" x14ac:dyDescent="0.2">
      <c r="A41" s="11" t="s">
        <v>14</v>
      </c>
      <c r="B41" s="14" cm="1">
        <f t="array" ref="B41">SUMPRODUCT(('Hand Coded'!E$2:E$10000=A41)*(LOWER('Hand Coded'!E$2:E$10000)=LOWER(IFERROR(INDEX('claude-sonnet-4-6'!H:H,MATCH('Hand Coded'!A$2:A$10000,'claude-sonnet-4-6'!A:A,0)),""))))</f>
        <v>26</v>
      </c>
      <c r="C41" s="14">
        <f>COUNTIF('Hand Coded'!E:E,A41)</f>
        <v>28</v>
      </c>
      <c r="D41" s="15">
        <f t="shared" si="2"/>
        <v>0.9285714285714286</v>
      </c>
    </row>
    <row r="42" spans="1:4" x14ac:dyDescent="0.2">
      <c r="A42" s="11" t="s">
        <v>429</v>
      </c>
      <c r="B42" s="14" cm="1">
        <f t="array" ref="B42">SUMPRODUCT(('Hand Coded'!E$2:E$10000=A42)*(LOWER('Hand Coded'!E$2:E$10000)=LOWER(IFERROR(INDEX('claude-sonnet-4-6'!H:H,MATCH('Hand Coded'!A$2:A$10000,'claude-sonnet-4-6'!A:A,0)),""))))</f>
        <v>0</v>
      </c>
      <c r="C42" s="14">
        <f>COUNTIF('Hand Coded'!E:E,A42)</f>
        <v>11</v>
      </c>
      <c r="D42" s="15">
        <f t="shared" si="2"/>
        <v>0</v>
      </c>
    </row>
    <row r="43" spans="1:4" x14ac:dyDescent="0.2">
      <c r="A43" s="11" t="s">
        <v>92</v>
      </c>
      <c r="B43" s="14" cm="1">
        <f t="array" ref="B43">SUMPRODUCT(('Hand Coded'!E$2:E$10000=A43)*(LOWER('Hand Coded'!E$2:E$10000)=LOWER(IFERROR(INDEX('claude-sonnet-4-6'!H:H,MATCH('Hand Coded'!A$2:A$10000,'claude-sonnet-4-6'!A:A,0)),""))))</f>
        <v>1</v>
      </c>
      <c r="C43" s="14">
        <f>COUNTIF('Hand Coded'!E:E,A43)</f>
        <v>1</v>
      </c>
      <c r="D43" s="15">
        <f t="shared" si="2"/>
        <v>1</v>
      </c>
    </row>
    <row r="44" spans="1:4" x14ac:dyDescent="0.2">
      <c r="A44" s="11" t="s">
        <v>28</v>
      </c>
      <c r="B44" s="14" cm="1">
        <f t="array" ref="B44">SUMPRODUCT(('Hand Coded'!E$2:E$10000=A44)*(LOWER('Hand Coded'!E$2:E$10000)=LOWER(IFERROR(INDEX('claude-sonnet-4-6'!H:H,MATCH('Hand Coded'!A$2:A$10000,'claude-sonnet-4-6'!A:A,0)),""))))</f>
        <v>57</v>
      </c>
      <c r="C44" s="14">
        <f>COUNTIF('Hand Coded'!E:E,A44)</f>
        <v>75</v>
      </c>
      <c r="D44" s="15">
        <f t="shared" si="2"/>
        <v>0.76</v>
      </c>
    </row>
    <row r="45" spans="1:4" x14ac:dyDescent="0.2">
      <c r="A45" s="11" t="s">
        <v>76</v>
      </c>
      <c r="B45" s="14" cm="1">
        <f t="array" ref="B45">SUMPRODUCT(('Hand Coded'!E$2:E$10000=A45)*(LOWER('Hand Coded'!E$2:E$10000)=LOWER(IFERROR(INDEX('claude-sonnet-4-6'!H:H,MATCH('Hand Coded'!A$2:A$10000,'claude-sonnet-4-6'!A:A,0)),""))))</f>
        <v>1</v>
      </c>
      <c r="C45" s="14">
        <f>COUNTIF('Hand Coded'!E:E,A45)</f>
        <v>3</v>
      </c>
      <c r="D45" s="15">
        <f t="shared" si="2"/>
        <v>0.33333333333333331</v>
      </c>
    </row>
    <row r="46" spans="1:4" ht="16" thickBot="1" x14ac:dyDescent="0.25">
      <c r="A46" s="12" t="s">
        <v>390</v>
      </c>
      <c r="B46" s="16" cm="1">
        <f t="array" ref="B46">SUMPRODUCT(('Hand Coded'!E$2:E$10000=A46)*(LOWER('Hand Coded'!E$2:E$10000)=LOWER(IFERROR(INDEX('claude-sonnet-4-6'!H:H,MATCH('Hand Coded'!A$2:A$10000,'claude-sonnet-4-6'!A:A,0)),""))))</f>
        <v>1</v>
      </c>
      <c r="C46" s="16">
        <f>COUNTIF('Hand Coded'!E:E,A46)</f>
        <v>2</v>
      </c>
      <c r="D46" s="17">
        <f t="shared" si="2"/>
        <v>0.5</v>
      </c>
    </row>
    <row r="47" spans="1:4" x14ac:dyDescent="0.2">
      <c r="A47" s="13" t="s">
        <v>437</v>
      </c>
      <c r="B47" s="18">
        <f>SUM(B35:B46)</f>
        <v>187</v>
      </c>
      <c r="C47" s="18">
        <f>SUM(C35:C46)</f>
        <v>233</v>
      </c>
      <c r="D47" s="19">
        <f t="shared" si="2"/>
        <v>0.80257510729613735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D999-60C7-F948-A72F-690060914EFD}">
  <dimension ref="A1:D125"/>
  <sheetViews>
    <sheetView workbookViewId="0"/>
  </sheetViews>
  <sheetFormatPr baseColWidth="10" defaultRowHeight="15" x14ac:dyDescent="0.2"/>
  <cols>
    <col min="1" max="1" width="28" bestFit="1" customWidth="1"/>
    <col min="2" max="2" width="13.6640625" bestFit="1" customWidth="1"/>
    <col min="3" max="3" width="26.6640625" bestFit="1" customWidth="1"/>
    <col min="4" max="4" width="8.5" bestFit="1" customWidth="1"/>
  </cols>
  <sheetData>
    <row r="1" spans="1:4" ht="17" x14ac:dyDescent="0.2">
      <c r="A1" s="9" t="s">
        <v>11</v>
      </c>
    </row>
    <row r="2" spans="1:4" x14ac:dyDescent="0.2">
      <c r="A2" s="10" t="s">
        <v>462</v>
      </c>
      <c r="B2" s="20" t="s">
        <v>434</v>
      </c>
      <c r="C2" s="20" t="s">
        <v>435</v>
      </c>
      <c r="D2" s="21" t="s">
        <v>436</v>
      </c>
    </row>
    <row r="3" spans="1:4" x14ac:dyDescent="0.2">
      <c r="A3" s="11" t="s">
        <v>288</v>
      </c>
      <c r="B3" s="14" cm="1">
        <f t="array" ref="B3">SUMPRODUCT(('Hand Coded'!F$2:F$10000=A3)*(LOWER('Hand Coded'!F$2:F$10000)=LOWER(IFERROR(INDEX('gemini-3.1-flash-lite-preview'!I:I,MATCH('Hand Coded'!A$2:A$10000,'gemini-3.1-flash-lite-preview'!A:A,0)),""))))</f>
        <v>0</v>
      </c>
      <c r="C3" s="14">
        <f>COUNTIF('Hand Coded'!F:F,A3)</f>
        <v>1</v>
      </c>
      <c r="D3" s="15">
        <f t="shared" ref="D3:D41" si="0">IF(C3=0,"",B3/C3)</f>
        <v>0</v>
      </c>
    </row>
    <row r="4" spans="1:4" x14ac:dyDescent="0.2">
      <c r="A4" s="11" t="s">
        <v>49</v>
      </c>
      <c r="B4" s="14" cm="1">
        <f t="array" ref="B4">SUMPRODUCT(('Hand Coded'!F$2:F$10000=A4)*(LOWER('Hand Coded'!F$2:F$10000)=LOWER(IFERROR(INDEX('gemini-3.1-flash-lite-preview'!I:I,MATCH('Hand Coded'!A$2:A$10000,'gemini-3.1-flash-lite-preview'!A:A,0)),""))))</f>
        <v>17</v>
      </c>
      <c r="C4" s="14">
        <f>COUNTIF('Hand Coded'!F:F,A4)</f>
        <v>18</v>
      </c>
      <c r="D4" s="15">
        <f t="shared" si="0"/>
        <v>0.94444444444444442</v>
      </c>
    </row>
    <row r="5" spans="1:4" x14ac:dyDescent="0.2">
      <c r="A5" s="11" t="s">
        <v>85</v>
      </c>
      <c r="B5" s="14" cm="1">
        <f t="array" ref="B5">SUMPRODUCT(('Hand Coded'!F$2:F$10000=A5)*(LOWER('Hand Coded'!F$2:F$10000)=LOWER(IFERROR(INDEX('gemini-3.1-flash-lite-preview'!I:I,MATCH('Hand Coded'!A$2:A$10000,'gemini-3.1-flash-lite-preview'!A:A,0)),""))))</f>
        <v>4</v>
      </c>
      <c r="C5" s="14">
        <f>COUNTIF('Hand Coded'!F:F,A5)</f>
        <v>5</v>
      </c>
      <c r="D5" s="15">
        <f t="shared" si="0"/>
        <v>0.8</v>
      </c>
    </row>
    <row r="6" spans="1:4" x14ac:dyDescent="0.2">
      <c r="A6" s="11" t="s">
        <v>78</v>
      </c>
      <c r="B6" s="14" cm="1">
        <f t="array" ref="B6">SUMPRODUCT(('Hand Coded'!F$2:F$10000=A6)*(LOWER('Hand Coded'!F$2:F$10000)=LOWER(IFERROR(INDEX('gemini-3.1-flash-lite-preview'!I:I,MATCH('Hand Coded'!A$2:A$10000,'gemini-3.1-flash-lite-preview'!A:A,0)),""))))</f>
        <v>6</v>
      </c>
      <c r="C6" s="14">
        <f>COUNTIF('Hand Coded'!F:F,A6)</f>
        <v>7</v>
      </c>
      <c r="D6" s="15">
        <f t="shared" si="0"/>
        <v>0.8571428571428571</v>
      </c>
    </row>
    <row r="7" spans="1:4" x14ac:dyDescent="0.2">
      <c r="A7" s="11" t="s">
        <v>60</v>
      </c>
      <c r="B7" s="14" cm="1">
        <f t="array" ref="B7">SUMPRODUCT(('Hand Coded'!F$2:F$10000=A7)*(LOWER('Hand Coded'!F$2:F$10000)=LOWER(IFERROR(INDEX('gemini-3.1-flash-lite-preview'!I:I,MATCH('Hand Coded'!A$2:A$10000,'gemini-3.1-flash-lite-preview'!A:A,0)),""))))</f>
        <v>0</v>
      </c>
      <c r="C7" s="14">
        <f>COUNTIF('Hand Coded'!F:F,A7)</f>
        <v>0</v>
      </c>
      <c r="D7" s="15" t="str">
        <f t="shared" si="0"/>
        <v/>
      </c>
    </row>
    <row r="8" spans="1:4" x14ac:dyDescent="0.2">
      <c r="A8" s="11" t="s">
        <v>113</v>
      </c>
      <c r="B8" s="14" cm="1">
        <f t="array" ref="B8">SUMPRODUCT(('Hand Coded'!F$2:F$10000=A8)*(LOWER('Hand Coded'!F$2:F$10000)=LOWER(IFERROR(INDEX('gemini-3.1-flash-lite-preview'!I:I,MATCH('Hand Coded'!A$2:A$10000,'gemini-3.1-flash-lite-preview'!A:A,0)),""))))</f>
        <v>1</v>
      </c>
      <c r="C8" s="14">
        <f>COUNTIF('Hand Coded'!F:F,A8)</f>
        <v>2</v>
      </c>
      <c r="D8" s="15">
        <f t="shared" si="0"/>
        <v>0.5</v>
      </c>
    </row>
    <row r="9" spans="1:4" x14ac:dyDescent="0.2">
      <c r="A9" s="11" t="s">
        <v>323</v>
      </c>
      <c r="B9" s="14" cm="1">
        <f t="array" ref="B9">SUMPRODUCT(('Hand Coded'!F$2:F$10000=A9)*(LOWER('Hand Coded'!F$2:F$10000)=LOWER(IFERROR(INDEX('gemini-3.1-flash-lite-preview'!I:I,MATCH('Hand Coded'!A$2:A$10000,'gemini-3.1-flash-lite-preview'!A:A,0)),""))))</f>
        <v>0</v>
      </c>
      <c r="C9" s="14">
        <f>COUNTIF('Hand Coded'!F:F,A9)</f>
        <v>1</v>
      </c>
      <c r="D9" s="15">
        <f t="shared" si="0"/>
        <v>0</v>
      </c>
    </row>
    <row r="10" spans="1:4" x14ac:dyDescent="0.2">
      <c r="A10" s="11" t="s">
        <v>80</v>
      </c>
      <c r="B10" s="14" cm="1">
        <f t="array" ref="B10">SUMPRODUCT(('Hand Coded'!F$2:F$10000=A10)*(LOWER('Hand Coded'!F$2:F$10000)=LOWER(IFERROR(INDEX('gemini-3.1-flash-lite-preview'!I:I,MATCH('Hand Coded'!A$2:A$10000,'gemini-3.1-flash-lite-preview'!A:A,0)),""))))</f>
        <v>2</v>
      </c>
      <c r="C10" s="14">
        <f>COUNTIF('Hand Coded'!F:F,A10)</f>
        <v>5</v>
      </c>
      <c r="D10" s="15">
        <f t="shared" si="0"/>
        <v>0.4</v>
      </c>
    </row>
    <row r="11" spans="1:4" x14ac:dyDescent="0.2">
      <c r="A11" s="11" t="s">
        <v>124</v>
      </c>
      <c r="B11" s="14" cm="1">
        <f t="array" ref="B11">SUMPRODUCT(('Hand Coded'!F$2:F$10000=A11)*(LOWER('Hand Coded'!F$2:F$10000)=LOWER(IFERROR(INDEX('gemini-3.1-flash-lite-preview'!I:I,MATCH('Hand Coded'!A$2:A$10000,'gemini-3.1-flash-lite-preview'!A:A,0)),""))))</f>
        <v>2</v>
      </c>
      <c r="C11" s="14">
        <f>COUNTIF('Hand Coded'!F:F,A11)</f>
        <v>3</v>
      </c>
      <c r="D11" s="15">
        <f t="shared" si="0"/>
        <v>0.66666666666666663</v>
      </c>
    </row>
    <row r="12" spans="1:4" x14ac:dyDescent="0.2">
      <c r="A12" s="11" t="s">
        <v>45</v>
      </c>
      <c r="B12" s="14" cm="1">
        <f t="array" ref="B12">SUMPRODUCT(('Hand Coded'!F$2:F$10000=A12)*(LOWER('Hand Coded'!F$2:F$10000)=LOWER(IFERROR(INDEX('gemini-3.1-flash-lite-preview'!I:I,MATCH('Hand Coded'!A$2:A$10000,'gemini-3.1-flash-lite-preview'!A:A,0)),""))))</f>
        <v>11</v>
      </c>
      <c r="C12" s="14">
        <f>COUNTIF('Hand Coded'!F:F,A12)</f>
        <v>14</v>
      </c>
      <c r="D12" s="15">
        <f t="shared" si="0"/>
        <v>0.7857142857142857</v>
      </c>
    </row>
    <row r="13" spans="1:4" x14ac:dyDescent="0.2">
      <c r="A13" s="11" t="s">
        <v>50</v>
      </c>
      <c r="B13" s="14" cm="1">
        <f t="array" ref="B13">SUMPRODUCT(('Hand Coded'!F$2:F$10000=A13)*(LOWER('Hand Coded'!F$2:F$10000)=LOWER(IFERROR(INDEX('gemini-3.1-flash-lite-preview'!I:I,MATCH('Hand Coded'!A$2:A$10000,'gemini-3.1-flash-lite-preview'!A:A,0)),""))))</f>
        <v>5</v>
      </c>
      <c r="C13" s="14">
        <f>COUNTIF('Hand Coded'!F:F,A13)</f>
        <v>6</v>
      </c>
      <c r="D13" s="15">
        <f t="shared" si="0"/>
        <v>0.83333333333333337</v>
      </c>
    </row>
    <row r="14" spans="1:4" x14ac:dyDescent="0.2">
      <c r="A14" s="11" t="s">
        <v>84</v>
      </c>
      <c r="B14" s="14" cm="1">
        <f t="array" ref="B14">SUMPRODUCT(('Hand Coded'!F$2:F$10000=A14)*(LOWER('Hand Coded'!F$2:F$10000)=LOWER(IFERROR(INDEX('gemini-3.1-flash-lite-preview'!I:I,MATCH('Hand Coded'!A$2:A$10000,'gemini-3.1-flash-lite-preview'!A:A,0)),""))))</f>
        <v>1</v>
      </c>
      <c r="C14" s="14">
        <f>COUNTIF('Hand Coded'!F:F,A14)</f>
        <v>1</v>
      </c>
      <c r="D14" s="15">
        <f t="shared" si="0"/>
        <v>1</v>
      </c>
    </row>
    <row r="15" spans="1:4" x14ac:dyDescent="0.2">
      <c r="A15" s="11" t="s">
        <v>69</v>
      </c>
      <c r="B15" s="14" cm="1">
        <f t="array" ref="B15">SUMPRODUCT(('Hand Coded'!F$2:F$10000=A15)*(LOWER('Hand Coded'!F$2:F$10000)=LOWER(IFERROR(INDEX('gemini-3.1-flash-lite-preview'!I:I,MATCH('Hand Coded'!A$2:A$10000,'gemini-3.1-flash-lite-preview'!A:A,0)),""))))</f>
        <v>1</v>
      </c>
      <c r="C15" s="14">
        <f>COUNTIF('Hand Coded'!F:F,A15)</f>
        <v>2</v>
      </c>
      <c r="D15" s="15">
        <f t="shared" si="0"/>
        <v>0.5</v>
      </c>
    </row>
    <row r="16" spans="1:4" x14ac:dyDescent="0.2">
      <c r="A16" s="11" t="s">
        <v>57</v>
      </c>
      <c r="B16" s="14" cm="1">
        <f t="array" ref="B16">SUMPRODUCT(('Hand Coded'!F$2:F$10000=A16)*(LOWER('Hand Coded'!F$2:F$10000)=LOWER(IFERROR(INDEX('gemini-3.1-flash-lite-preview'!I:I,MATCH('Hand Coded'!A$2:A$10000,'gemini-3.1-flash-lite-preview'!A:A,0)),""))))</f>
        <v>14</v>
      </c>
      <c r="C16" s="14">
        <f>COUNTIF('Hand Coded'!F:F,A16)</f>
        <v>14</v>
      </c>
      <c r="D16" s="15">
        <f t="shared" si="0"/>
        <v>1</v>
      </c>
    </row>
    <row r="17" spans="1:4" x14ac:dyDescent="0.2">
      <c r="A17" s="11" t="s">
        <v>130</v>
      </c>
      <c r="B17" s="14" cm="1">
        <f t="array" ref="B17">SUMPRODUCT(('Hand Coded'!F$2:F$10000=A17)*(LOWER('Hand Coded'!F$2:F$10000)=LOWER(IFERROR(INDEX('gemini-3.1-flash-lite-preview'!I:I,MATCH('Hand Coded'!A$2:A$10000,'gemini-3.1-flash-lite-preview'!A:A,0)),""))))</f>
        <v>1</v>
      </c>
      <c r="C17" s="14">
        <f>COUNTIF('Hand Coded'!F:F,A17)</f>
        <v>4</v>
      </c>
      <c r="D17" s="15">
        <f t="shared" si="0"/>
        <v>0.25</v>
      </c>
    </row>
    <row r="18" spans="1:4" x14ac:dyDescent="0.2">
      <c r="A18" s="11" t="s">
        <v>38</v>
      </c>
      <c r="B18" s="14" cm="1">
        <f t="array" ref="B18">SUMPRODUCT(('Hand Coded'!F$2:F$10000=A18)*(LOWER('Hand Coded'!F$2:F$10000)=LOWER(IFERROR(INDEX('gemini-3.1-flash-lite-preview'!I:I,MATCH('Hand Coded'!A$2:A$10000,'gemini-3.1-flash-lite-preview'!A:A,0)),""))))</f>
        <v>1</v>
      </c>
      <c r="C18" s="14">
        <f>COUNTIF('Hand Coded'!F:F,A18)</f>
        <v>2</v>
      </c>
      <c r="D18" s="15">
        <f t="shared" si="0"/>
        <v>0.5</v>
      </c>
    </row>
    <row r="19" spans="1:4" x14ac:dyDescent="0.2">
      <c r="A19" s="11" t="s">
        <v>279</v>
      </c>
      <c r="B19" s="14" cm="1">
        <f t="array" ref="B19">SUMPRODUCT(('Hand Coded'!F$2:F$10000=A19)*(LOWER('Hand Coded'!F$2:F$10000)=LOWER(IFERROR(INDEX('gemini-3.1-flash-lite-preview'!I:I,MATCH('Hand Coded'!A$2:A$10000,'gemini-3.1-flash-lite-preview'!A:A,0)),""))))</f>
        <v>0</v>
      </c>
      <c r="C19" s="14">
        <f>COUNTIF('Hand Coded'!F:F,A19)</f>
        <v>1</v>
      </c>
      <c r="D19" s="15">
        <f t="shared" si="0"/>
        <v>0</v>
      </c>
    </row>
    <row r="20" spans="1:4" x14ac:dyDescent="0.2">
      <c r="A20" s="11" t="s">
        <v>129</v>
      </c>
      <c r="B20" s="14" cm="1">
        <f t="array" ref="B20">SUMPRODUCT(('Hand Coded'!F$2:F$10000=A20)*(LOWER('Hand Coded'!F$2:F$10000)=LOWER(IFERROR(INDEX('gemini-3.1-flash-lite-preview'!I:I,MATCH('Hand Coded'!A$2:A$10000,'gemini-3.1-flash-lite-preview'!A:A,0)),""))))</f>
        <v>1</v>
      </c>
      <c r="C20" s="14">
        <f>COUNTIF('Hand Coded'!F:F,A20)</f>
        <v>1</v>
      </c>
      <c r="D20" s="15">
        <f t="shared" si="0"/>
        <v>1</v>
      </c>
    </row>
    <row r="21" spans="1:4" x14ac:dyDescent="0.2">
      <c r="A21" s="11" t="s">
        <v>81</v>
      </c>
      <c r="B21" s="14" cm="1">
        <f t="array" ref="B21">SUMPRODUCT(('Hand Coded'!F$2:F$10000=A21)*(LOWER('Hand Coded'!F$2:F$10000)=LOWER(IFERROR(INDEX('gemini-3.1-flash-lite-preview'!I:I,MATCH('Hand Coded'!A$2:A$10000,'gemini-3.1-flash-lite-preview'!A:A,0)),""))))</f>
        <v>2</v>
      </c>
      <c r="C21" s="14">
        <f>COUNTIF('Hand Coded'!F:F,A21)</f>
        <v>3</v>
      </c>
      <c r="D21" s="15">
        <f t="shared" si="0"/>
        <v>0.66666666666666663</v>
      </c>
    </row>
    <row r="22" spans="1:4" x14ac:dyDescent="0.2">
      <c r="A22" s="11" t="s">
        <v>423</v>
      </c>
      <c r="B22" s="14" cm="1">
        <f t="array" ref="B22">SUMPRODUCT(('Hand Coded'!F$2:F$10000=A22)*(LOWER('Hand Coded'!F$2:F$10000)=LOWER(IFERROR(INDEX('gemini-3.1-flash-lite-preview'!I:I,MATCH('Hand Coded'!A$2:A$10000,'gemini-3.1-flash-lite-preview'!A:A,0)),""))))</f>
        <v>0</v>
      </c>
      <c r="C22" s="14">
        <f>COUNTIF('Hand Coded'!F:F,A22)</f>
        <v>1</v>
      </c>
      <c r="D22" s="15">
        <f t="shared" si="0"/>
        <v>0</v>
      </c>
    </row>
    <row r="23" spans="1:4" x14ac:dyDescent="0.2">
      <c r="A23" s="11" t="s">
        <v>15</v>
      </c>
      <c r="B23" s="14" cm="1">
        <f t="array" ref="B23">SUMPRODUCT(('Hand Coded'!F$2:F$10000=A23)*(LOWER('Hand Coded'!F$2:F$10000)=LOWER(IFERROR(INDEX('gemini-3.1-flash-lite-preview'!I:I,MATCH('Hand Coded'!A$2:A$10000,'gemini-3.1-flash-lite-preview'!A:A,0)),""))))</f>
        <v>0</v>
      </c>
      <c r="C23" s="14">
        <f>COUNTIF('Hand Coded'!F:F,A23)</f>
        <v>1</v>
      </c>
      <c r="D23" s="15">
        <f t="shared" si="0"/>
        <v>0</v>
      </c>
    </row>
    <row r="24" spans="1:4" x14ac:dyDescent="0.2">
      <c r="A24" s="11" t="s">
        <v>71</v>
      </c>
      <c r="B24" s="14" cm="1">
        <f t="array" ref="B24">SUMPRODUCT(('Hand Coded'!F$2:F$10000=A24)*(LOWER('Hand Coded'!F$2:F$10000)=LOWER(IFERROR(INDEX('gemini-3.1-flash-lite-preview'!I:I,MATCH('Hand Coded'!A$2:A$10000,'gemini-3.1-flash-lite-preview'!A:A,0)),""))))</f>
        <v>1</v>
      </c>
      <c r="C24" s="14">
        <f>COUNTIF('Hand Coded'!F:F,A24)</f>
        <v>1</v>
      </c>
      <c r="D24" s="15">
        <f t="shared" si="0"/>
        <v>1</v>
      </c>
    </row>
    <row r="25" spans="1:4" x14ac:dyDescent="0.2">
      <c r="A25" s="11" t="s">
        <v>61</v>
      </c>
      <c r="B25" s="14" cm="1">
        <f t="array" ref="B25">SUMPRODUCT(('Hand Coded'!F$2:F$10000=A25)*(LOWER('Hand Coded'!F$2:F$10000)=LOWER(IFERROR(INDEX('gemini-3.1-flash-lite-preview'!I:I,MATCH('Hand Coded'!A$2:A$10000,'gemini-3.1-flash-lite-preview'!A:A,0)),""))))</f>
        <v>19</v>
      </c>
      <c r="C25" s="14">
        <f>COUNTIF('Hand Coded'!F:F,A25)</f>
        <v>33</v>
      </c>
      <c r="D25" s="15">
        <f t="shared" si="0"/>
        <v>0.5757575757575758</v>
      </c>
    </row>
    <row r="26" spans="1:4" x14ac:dyDescent="0.2">
      <c r="A26" s="11" t="s">
        <v>79</v>
      </c>
      <c r="B26" s="14" cm="1">
        <f t="array" ref="B26">SUMPRODUCT(('Hand Coded'!F$2:F$10000=A26)*(LOWER('Hand Coded'!F$2:F$10000)=LOWER(IFERROR(INDEX('gemini-3.1-flash-lite-preview'!I:I,MATCH('Hand Coded'!A$2:A$10000,'gemini-3.1-flash-lite-preview'!A:A,0)),""))))</f>
        <v>1</v>
      </c>
      <c r="C26" s="14">
        <f>COUNTIF('Hand Coded'!F:F,A26)</f>
        <v>3</v>
      </c>
      <c r="D26" s="15">
        <f t="shared" si="0"/>
        <v>0.33333333333333331</v>
      </c>
    </row>
    <row r="27" spans="1:4" x14ac:dyDescent="0.2">
      <c r="A27" s="11" t="s">
        <v>65</v>
      </c>
      <c r="B27" s="14" cm="1">
        <f t="array" ref="B27">SUMPRODUCT(('Hand Coded'!F$2:F$10000=A27)*(LOWER('Hand Coded'!F$2:F$10000)=LOWER(IFERROR(INDEX('gemini-3.1-flash-lite-preview'!I:I,MATCH('Hand Coded'!A$2:A$10000,'gemini-3.1-flash-lite-preview'!A:A,0)),""))))</f>
        <v>3</v>
      </c>
      <c r="C27" s="14">
        <f>COUNTIF('Hand Coded'!F:F,A27)</f>
        <v>3</v>
      </c>
      <c r="D27" s="15">
        <f t="shared" si="0"/>
        <v>1</v>
      </c>
    </row>
    <row r="28" spans="1:4" x14ac:dyDescent="0.2">
      <c r="A28" s="11" t="s">
        <v>121</v>
      </c>
      <c r="B28" s="14" cm="1">
        <f t="array" ref="B28">SUMPRODUCT(('Hand Coded'!F$2:F$10000=A28)*(LOWER('Hand Coded'!F$2:F$10000)=LOWER(IFERROR(INDEX('gemini-3.1-flash-lite-preview'!I:I,MATCH('Hand Coded'!A$2:A$10000,'gemini-3.1-flash-lite-preview'!A:A,0)),""))))</f>
        <v>1</v>
      </c>
      <c r="C28" s="14">
        <f>COUNTIF('Hand Coded'!F:F,A28)</f>
        <v>4</v>
      </c>
      <c r="D28" s="15">
        <f t="shared" si="0"/>
        <v>0.25</v>
      </c>
    </row>
    <row r="29" spans="1:4" x14ac:dyDescent="0.2">
      <c r="A29" s="11" t="s">
        <v>29</v>
      </c>
      <c r="B29" s="14" cm="1">
        <f t="array" ref="B29">SUMPRODUCT(('Hand Coded'!F$2:F$10000=A29)*(LOWER('Hand Coded'!F$2:F$10000)=LOWER(IFERROR(INDEX('gemini-3.1-flash-lite-preview'!I:I,MATCH('Hand Coded'!A$2:A$10000,'gemini-3.1-flash-lite-preview'!A:A,0)),""))))</f>
        <v>8</v>
      </c>
      <c r="C29" s="14">
        <f>COUNTIF('Hand Coded'!F:F,A29)</f>
        <v>9</v>
      </c>
      <c r="D29" s="15">
        <f t="shared" si="0"/>
        <v>0.88888888888888884</v>
      </c>
    </row>
    <row r="30" spans="1:4" x14ac:dyDescent="0.2">
      <c r="A30" s="11" t="s">
        <v>132</v>
      </c>
      <c r="B30" s="14" cm="1">
        <f t="array" ref="B30">SUMPRODUCT(('Hand Coded'!F$2:F$10000=A30)*(LOWER('Hand Coded'!F$2:F$10000)=LOWER(IFERROR(INDEX('gemini-3.1-flash-lite-preview'!I:I,MATCH('Hand Coded'!A$2:A$10000,'gemini-3.1-flash-lite-preview'!A:A,0)),""))))</f>
        <v>1</v>
      </c>
      <c r="C30" s="14">
        <f>COUNTIF('Hand Coded'!F:F,A30)</f>
        <v>1</v>
      </c>
      <c r="D30" s="15">
        <f t="shared" si="0"/>
        <v>1</v>
      </c>
    </row>
    <row r="31" spans="1:4" x14ac:dyDescent="0.2">
      <c r="A31" s="11" t="s">
        <v>41</v>
      </c>
      <c r="B31" s="14" cm="1">
        <f t="array" ref="B31">SUMPRODUCT(('Hand Coded'!F$2:F$10000=A31)*(LOWER('Hand Coded'!F$2:F$10000)=LOWER(IFERROR(INDEX('gemini-3.1-flash-lite-preview'!I:I,MATCH('Hand Coded'!A$2:A$10000,'gemini-3.1-flash-lite-preview'!A:A,0)),""))))</f>
        <v>0</v>
      </c>
      <c r="C31" s="14">
        <f>COUNTIF('Hand Coded'!F:F,A31)</f>
        <v>1</v>
      </c>
      <c r="D31" s="15">
        <f t="shared" si="0"/>
        <v>0</v>
      </c>
    </row>
    <row r="32" spans="1:4" x14ac:dyDescent="0.2">
      <c r="A32" s="11" t="s">
        <v>82</v>
      </c>
      <c r="B32" s="14" cm="1">
        <f t="array" ref="B32">SUMPRODUCT(('Hand Coded'!F$2:F$10000=A32)*(LOWER('Hand Coded'!F$2:F$10000)=LOWER(IFERROR(INDEX('gemini-3.1-flash-lite-preview'!I:I,MATCH('Hand Coded'!A$2:A$10000,'gemini-3.1-flash-lite-preview'!A:A,0)),""))))</f>
        <v>4</v>
      </c>
      <c r="C32" s="14">
        <f>COUNTIF('Hand Coded'!F:F,A32)</f>
        <v>6</v>
      </c>
      <c r="D32" s="15">
        <f t="shared" si="0"/>
        <v>0.66666666666666663</v>
      </c>
    </row>
    <row r="33" spans="1:4" x14ac:dyDescent="0.2">
      <c r="A33" s="11" t="s">
        <v>412</v>
      </c>
      <c r="B33" s="14" cm="1">
        <f t="array" ref="B33">SUMPRODUCT(('Hand Coded'!F$2:F$10000=A33)*(LOWER('Hand Coded'!F$2:F$10000)=LOWER(IFERROR(INDEX('gemini-3.1-flash-lite-preview'!I:I,MATCH('Hand Coded'!A$2:A$10000,'gemini-3.1-flash-lite-preview'!A:A,0)),""))))</f>
        <v>0</v>
      </c>
      <c r="C33" s="14">
        <f>COUNTIF('Hand Coded'!F:F,A33)</f>
        <v>8</v>
      </c>
      <c r="D33" s="15">
        <f t="shared" si="0"/>
        <v>0</v>
      </c>
    </row>
    <row r="34" spans="1:4" x14ac:dyDescent="0.2">
      <c r="A34" s="11" t="s">
        <v>68</v>
      </c>
      <c r="B34" s="14" cm="1">
        <f t="array" ref="B34">SUMPRODUCT(('Hand Coded'!F$2:F$10000=A34)*(LOWER('Hand Coded'!F$2:F$10000)=LOWER(IFERROR(INDEX('gemini-3.1-flash-lite-preview'!I:I,MATCH('Hand Coded'!A$2:A$10000,'gemini-3.1-flash-lite-preview'!A:A,0)),""))))</f>
        <v>4</v>
      </c>
      <c r="C34" s="14">
        <f>COUNTIF('Hand Coded'!F:F,A34)</f>
        <v>6</v>
      </c>
      <c r="D34" s="15">
        <f t="shared" si="0"/>
        <v>0.66666666666666663</v>
      </c>
    </row>
    <row r="35" spans="1:4" x14ac:dyDescent="0.2">
      <c r="A35" s="11" t="s">
        <v>94</v>
      </c>
      <c r="B35" s="14" cm="1">
        <f t="array" ref="B35">SUMPRODUCT(('Hand Coded'!F$2:F$10000=A35)*(LOWER('Hand Coded'!F$2:F$10000)=LOWER(IFERROR(INDEX('gemini-3.1-flash-lite-preview'!I:I,MATCH('Hand Coded'!A$2:A$10000,'gemini-3.1-flash-lite-preview'!A:A,0)),""))))</f>
        <v>1</v>
      </c>
      <c r="C35" s="14">
        <f>COUNTIF('Hand Coded'!F:F,A35)</f>
        <v>1</v>
      </c>
      <c r="D35" s="15">
        <f t="shared" si="0"/>
        <v>1</v>
      </c>
    </row>
    <row r="36" spans="1:4" x14ac:dyDescent="0.2">
      <c r="A36" s="11" t="s">
        <v>73</v>
      </c>
      <c r="B36" s="14" cm="1">
        <f t="array" ref="B36">SUMPRODUCT(('Hand Coded'!F$2:F$10000=A36)*(LOWER('Hand Coded'!F$2:F$10000)=LOWER(IFERROR(INDEX('gemini-3.1-flash-lite-preview'!I:I,MATCH('Hand Coded'!A$2:A$10000,'gemini-3.1-flash-lite-preview'!A:A,0)),""))))</f>
        <v>4</v>
      </c>
      <c r="C36" s="14">
        <f>COUNTIF('Hand Coded'!F:F,A36)</f>
        <v>4</v>
      </c>
      <c r="D36" s="15">
        <f t="shared" si="0"/>
        <v>1</v>
      </c>
    </row>
    <row r="37" spans="1:4" x14ac:dyDescent="0.2">
      <c r="A37" s="11" t="s">
        <v>22</v>
      </c>
      <c r="B37" s="14" cm="1">
        <f t="array" ref="B37">SUMPRODUCT(('Hand Coded'!F$2:F$10000=A37)*(LOWER('Hand Coded'!F$2:F$10000)=LOWER(IFERROR(INDEX('gemini-3.1-flash-lite-preview'!I:I,MATCH('Hand Coded'!A$2:A$10000,'gemini-3.1-flash-lite-preview'!A:A,0)),""))))</f>
        <v>1</v>
      </c>
      <c r="C37" s="14">
        <f>COUNTIF('Hand Coded'!F:F,A37)</f>
        <v>3</v>
      </c>
      <c r="D37" s="15">
        <f t="shared" si="0"/>
        <v>0.33333333333333331</v>
      </c>
    </row>
    <row r="38" spans="1:4" x14ac:dyDescent="0.2">
      <c r="A38" s="11" t="s">
        <v>106</v>
      </c>
      <c r="B38" s="14" cm="1">
        <f t="array" ref="B38">SUMPRODUCT(('Hand Coded'!F$2:F$10000=A38)*(LOWER('Hand Coded'!F$2:F$10000)=LOWER(IFERROR(INDEX('gemini-3.1-flash-lite-preview'!I:I,MATCH('Hand Coded'!A$2:A$10000,'gemini-3.1-flash-lite-preview'!A:A,0)),""))))</f>
        <v>1</v>
      </c>
      <c r="C38" s="14">
        <f>COUNTIF('Hand Coded'!F:F,A38)</f>
        <v>1</v>
      </c>
      <c r="D38" s="15">
        <f t="shared" si="0"/>
        <v>1</v>
      </c>
    </row>
    <row r="39" spans="1:4" x14ac:dyDescent="0.2">
      <c r="A39" s="11" t="s">
        <v>24</v>
      </c>
      <c r="B39" s="14" cm="1">
        <f t="array" ref="B39">SUMPRODUCT(('Hand Coded'!F$2:F$10000=A39)*(LOWER('Hand Coded'!F$2:F$10000)=LOWER(IFERROR(INDEX('gemini-3.1-flash-lite-preview'!I:I,MATCH('Hand Coded'!A$2:A$10000,'gemini-3.1-flash-lite-preview'!A:A,0)),""))))</f>
        <v>25</v>
      </c>
      <c r="C39" s="14">
        <f>COUNTIF('Hand Coded'!F:F,A39)</f>
        <v>30</v>
      </c>
      <c r="D39" s="15">
        <f t="shared" si="0"/>
        <v>0.83333333333333337</v>
      </c>
    </row>
    <row r="40" spans="1:4" ht="16" thickBot="1" x14ac:dyDescent="0.25">
      <c r="A40" s="12" t="s">
        <v>390</v>
      </c>
      <c r="B40" s="16" cm="1">
        <f t="array" ref="B40">SUMPRODUCT(('Hand Coded'!F$2:F$10000=A40)*(LOWER('Hand Coded'!F$2:F$10000)=LOWER(IFERROR(INDEX('gemini-3.1-flash-lite-preview'!I:I,MATCH('Hand Coded'!A$2:A$10000,'gemini-3.1-flash-lite-preview'!A:A,0)),""))))</f>
        <v>18</v>
      </c>
      <c r="C40" s="16">
        <f>COUNTIF('Hand Coded'!F:F,A40)</f>
        <v>19</v>
      </c>
      <c r="D40" s="17">
        <f t="shared" si="0"/>
        <v>0.94736842105263153</v>
      </c>
    </row>
    <row r="41" spans="1:4" x14ac:dyDescent="0.2">
      <c r="A41" s="13" t="s">
        <v>437</v>
      </c>
      <c r="B41" s="18">
        <f>SUM(B3:B40)</f>
        <v>161</v>
      </c>
      <c r="C41" s="18">
        <f>SUM(C3:C40)</f>
        <v>225</v>
      </c>
      <c r="D41" s="19">
        <f t="shared" si="0"/>
        <v>0.7155555555555555</v>
      </c>
    </row>
    <row r="43" spans="1:4" ht="17" x14ac:dyDescent="0.2">
      <c r="A43" s="9" t="s">
        <v>144</v>
      </c>
    </row>
    <row r="44" spans="1:4" x14ac:dyDescent="0.2">
      <c r="A44" s="10" t="s">
        <v>462</v>
      </c>
      <c r="B44" s="20" t="s">
        <v>434</v>
      </c>
      <c r="C44" s="20" t="s">
        <v>435</v>
      </c>
      <c r="D44" s="21" t="s">
        <v>436</v>
      </c>
    </row>
    <row r="45" spans="1:4" x14ac:dyDescent="0.2">
      <c r="A45" s="11" t="s">
        <v>288</v>
      </c>
      <c r="B45" s="14" cm="1">
        <f t="array" ref="B45">SUMPRODUCT(('Hand Coded'!F$2:F$10000=A45)*(LOWER('Hand Coded'!F$2:F$10000)=LOWER(IFERROR(INDEX('gpt-5.4-mini'!I:I,MATCH('Hand Coded'!A$2:A$10000,'gpt-5.4-mini'!A:A,0)),""))))</f>
        <v>0</v>
      </c>
      <c r="C45" s="14">
        <f>COUNTIF('Hand Coded'!F:F,A45)</f>
        <v>1</v>
      </c>
      <c r="D45" s="15">
        <f t="shared" ref="D45:D83" si="1">IF(C45=0,"",B45/C45)</f>
        <v>0</v>
      </c>
    </row>
    <row r="46" spans="1:4" x14ac:dyDescent="0.2">
      <c r="A46" s="11" t="s">
        <v>49</v>
      </c>
      <c r="B46" s="14" cm="1">
        <f t="array" ref="B46">SUMPRODUCT(('Hand Coded'!F$2:F$10000=A46)*(LOWER('Hand Coded'!F$2:F$10000)=LOWER(IFERROR(INDEX('gpt-5.4-mini'!I:I,MATCH('Hand Coded'!A$2:A$10000,'gpt-5.4-mini'!A:A,0)),""))))</f>
        <v>14</v>
      </c>
      <c r="C46" s="14">
        <f>COUNTIF('Hand Coded'!F:F,A46)</f>
        <v>18</v>
      </c>
      <c r="D46" s="15">
        <f t="shared" si="1"/>
        <v>0.77777777777777779</v>
      </c>
    </row>
    <row r="47" spans="1:4" x14ac:dyDescent="0.2">
      <c r="A47" s="11" t="s">
        <v>85</v>
      </c>
      <c r="B47" s="14" cm="1">
        <f t="array" ref="B47">SUMPRODUCT(('Hand Coded'!F$2:F$10000=A47)*(LOWER('Hand Coded'!F$2:F$10000)=LOWER(IFERROR(INDEX('gpt-5.4-mini'!I:I,MATCH('Hand Coded'!A$2:A$10000,'gpt-5.4-mini'!A:A,0)),""))))</f>
        <v>4</v>
      </c>
      <c r="C47" s="14">
        <f>COUNTIF('Hand Coded'!F:F,A47)</f>
        <v>5</v>
      </c>
      <c r="D47" s="15">
        <f t="shared" si="1"/>
        <v>0.8</v>
      </c>
    </row>
    <row r="48" spans="1:4" x14ac:dyDescent="0.2">
      <c r="A48" s="11" t="s">
        <v>78</v>
      </c>
      <c r="B48" s="14" cm="1">
        <f t="array" ref="B48">SUMPRODUCT(('Hand Coded'!F$2:F$10000=A48)*(LOWER('Hand Coded'!F$2:F$10000)=LOWER(IFERROR(INDEX('gpt-5.4-mini'!I:I,MATCH('Hand Coded'!A$2:A$10000,'gpt-5.4-mini'!A:A,0)),""))))</f>
        <v>5</v>
      </c>
      <c r="C48" s="14">
        <f>COUNTIF('Hand Coded'!F:F,A48)</f>
        <v>7</v>
      </c>
      <c r="D48" s="15">
        <f t="shared" si="1"/>
        <v>0.7142857142857143</v>
      </c>
    </row>
    <row r="49" spans="1:4" x14ac:dyDescent="0.2">
      <c r="A49" s="11" t="s">
        <v>60</v>
      </c>
      <c r="B49" s="14" cm="1">
        <f t="array" ref="B49">SUMPRODUCT(('Hand Coded'!F$2:F$10000=A49)*(LOWER('Hand Coded'!F$2:F$10000)=LOWER(IFERROR(INDEX('gpt-5.4-mini'!I:I,MATCH('Hand Coded'!A$2:A$10000,'gpt-5.4-mini'!A:A,0)),""))))</f>
        <v>0</v>
      </c>
      <c r="C49" s="14">
        <f>COUNTIF('Hand Coded'!F:F,A49)</f>
        <v>0</v>
      </c>
      <c r="D49" s="15" t="str">
        <f t="shared" si="1"/>
        <v/>
      </c>
    </row>
    <row r="50" spans="1:4" x14ac:dyDescent="0.2">
      <c r="A50" s="11" t="s">
        <v>113</v>
      </c>
      <c r="B50" s="14" cm="1">
        <f t="array" ref="B50">SUMPRODUCT(('Hand Coded'!F$2:F$10000=A50)*(LOWER('Hand Coded'!F$2:F$10000)=LOWER(IFERROR(INDEX('gpt-5.4-mini'!I:I,MATCH('Hand Coded'!A$2:A$10000,'gpt-5.4-mini'!A:A,0)),""))))</f>
        <v>0</v>
      </c>
      <c r="C50" s="14">
        <f>COUNTIF('Hand Coded'!F:F,A50)</f>
        <v>2</v>
      </c>
      <c r="D50" s="15">
        <f t="shared" si="1"/>
        <v>0</v>
      </c>
    </row>
    <row r="51" spans="1:4" x14ac:dyDescent="0.2">
      <c r="A51" s="11" t="s">
        <v>323</v>
      </c>
      <c r="B51" s="14" cm="1">
        <f t="array" ref="B51">SUMPRODUCT(('Hand Coded'!F$2:F$10000=A51)*(LOWER('Hand Coded'!F$2:F$10000)=LOWER(IFERROR(INDEX('gpt-5.4-mini'!I:I,MATCH('Hand Coded'!A$2:A$10000,'gpt-5.4-mini'!A:A,0)),""))))</f>
        <v>0</v>
      </c>
      <c r="C51" s="14">
        <f>COUNTIF('Hand Coded'!F:F,A51)</f>
        <v>1</v>
      </c>
      <c r="D51" s="15">
        <f t="shared" si="1"/>
        <v>0</v>
      </c>
    </row>
    <row r="52" spans="1:4" x14ac:dyDescent="0.2">
      <c r="A52" s="11" t="s">
        <v>80</v>
      </c>
      <c r="B52" s="14" cm="1">
        <f t="array" ref="B52">SUMPRODUCT(('Hand Coded'!F$2:F$10000=A52)*(LOWER('Hand Coded'!F$2:F$10000)=LOWER(IFERROR(INDEX('gpt-5.4-mini'!I:I,MATCH('Hand Coded'!A$2:A$10000,'gpt-5.4-mini'!A:A,0)),""))))</f>
        <v>2</v>
      </c>
      <c r="C52" s="14">
        <f>COUNTIF('Hand Coded'!F:F,A52)</f>
        <v>5</v>
      </c>
      <c r="D52" s="15">
        <f t="shared" si="1"/>
        <v>0.4</v>
      </c>
    </row>
    <row r="53" spans="1:4" x14ac:dyDescent="0.2">
      <c r="A53" s="11" t="s">
        <v>124</v>
      </c>
      <c r="B53" s="14" cm="1">
        <f t="array" ref="B53">SUMPRODUCT(('Hand Coded'!F$2:F$10000=A53)*(LOWER('Hand Coded'!F$2:F$10000)=LOWER(IFERROR(INDEX('gpt-5.4-mini'!I:I,MATCH('Hand Coded'!A$2:A$10000,'gpt-5.4-mini'!A:A,0)),""))))</f>
        <v>1</v>
      </c>
      <c r="C53" s="14">
        <f>COUNTIF('Hand Coded'!F:F,A53)</f>
        <v>3</v>
      </c>
      <c r="D53" s="15">
        <f t="shared" si="1"/>
        <v>0.33333333333333331</v>
      </c>
    </row>
    <row r="54" spans="1:4" x14ac:dyDescent="0.2">
      <c r="A54" s="11" t="s">
        <v>45</v>
      </c>
      <c r="B54" s="14" cm="1">
        <f t="array" ref="B54">SUMPRODUCT(('Hand Coded'!F$2:F$10000=A54)*(LOWER('Hand Coded'!F$2:F$10000)=LOWER(IFERROR(INDEX('gpt-5.4-mini'!I:I,MATCH('Hand Coded'!A$2:A$10000,'gpt-5.4-mini'!A:A,0)),""))))</f>
        <v>9</v>
      </c>
      <c r="C54" s="14">
        <f>COUNTIF('Hand Coded'!F:F,A54)</f>
        <v>14</v>
      </c>
      <c r="D54" s="15">
        <f t="shared" si="1"/>
        <v>0.6428571428571429</v>
      </c>
    </row>
    <row r="55" spans="1:4" x14ac:dyDescent="0.2">
      <c r="A55" s="11" t="s">
        <v>50</v>
      </c>
      <c r="B55" s="14" cm="1">
        <f t="array" ref="B55">SUMPRODUCT(('Hand Coded'!F$2:F$10000=A55)*(LOWER('Hand Coded'!F$2:F$10000)=LOWER(IFERROR(INDEX('gpt-5.4-mini'!I:I,MATCH('Hand Coded'!A$2:A$10000,'gpt-5.4-mini'!A:A,0)),""))))</f>
        <v>5</v>
      </c>
      <c r="C55" s="14">
        <f>COUNTIF('Hand Coded'!F:F,A55)</f>
        <v>6</v>
      </c>
      <c r="D55" s="15">
        <f t="shared" si="1"/>
        <v>0.83333333333333337</v>
      </c>
    </row>
    <row r="56" spans="1:4" x14ac:dyDescent="0.2">
      <c r="A56" s="11" t="s">
        <v>84</v>
      </c>
      <c r="B56" s="14" cm="1">
        <f t="array" ref="B56">SUMPRODUCT(('Hand Coded'!F$2:F$10000=A56)*(LOWER('Hand Coded'!F$2:F$10000)=LOWER(IFERROR(INDEX('gpt-5.4-mini'!I:I,MATCH('Hand Coded'!A$2:A$10000,'gpt-5.4-mini'!A:A,0)),""))))</f>
        <v>1</v>
      </c>
      <c r="C56" s="14">
        <f>COUNTIF('Hand Coded'!F:F,A56)</f>
        <v>1</v>
      </c>
      <c r="D56" s="15">
        <f t="shared" si="1"/>
        <v>1</v>
      </c>
    </row>
    <row r="57" spans="1:4" x14ac:dyDescent="0.2">
      <c r="A57" s="11" t="s">
        <v>69</v>
      </c>
      <c r="B57" s="14" cm="1">
        <f t="array" ref="B57">SUMPRODUCT(('Hand Coded'!F$2:F$10000=A57)*(LOWER('Hand Coded'!F$2:F$10000)=LOWER(IFERROR(INDEX('gpt-5.4-mini'!I:I,MATCH('Hand Coded'!A$2:A$10000,'gpt-5.4-mini'!A:A,0)),""))))</f>
        <v>0</v>
      </c>
      <c r="C57" s="14">
        <f>COUNTIF('Hand Coded'!F:F,A57)</f>
        <v>2</v>
      </c>
      <c r="D57" s="15">
        <f t="shared" si="1"/>
        <v>0</v>
      </c>
    </row>
    <row r="58" spans="1:4" x14ac:dyDescent="0.2">
      <c r="A58" s="11" t="s">
        <v>57</v>
      </c>
      <c r="B58" s="14" cm="1">
        <f t="array" ref="B58">SUMPRODUCT(('Hand Coded'!F$2:F$10000=A58)*(LOWER('Hand Coded'!F$2:F$10000)=LOWER(IFERROR(INDEX('gpt-5.4-mini'!I:I,MATCH('Hand Coded'!A$2:A$10000,'gpt-5.4-mini'!A:A,0)),""))))</f>
        <v>12</v>
      </c>
      <c r="C58" s="14">
        <f>COUNTIF('Hand Coded'!F:F,A58)</f>
        <v>14</v>
      </c>
      <c r="D58" s="15">
        <f t="shared" si="1"/>
        <v>0.8571428571428571</v>
      </c>
    </row>
    <row r="59" spans="1:4" x14ac:dyDescent="0.2">
      <c r="A59" s="11" t="s">
        <v>130</v>
      </c>
      <c r="B59" s="14" cm="1">
        <f t="array" ref="B59">SUMPRODUCT(('Hand Coded'!F$2:F$10000=A59)*(LOWER('Hand Coded'!F$2:F$10000)=LOWER(IFERROR(INDEX('gpt-5.4-mini'!I:I,MATCH('Hand Coded'!A$2:A$10000,'gpt-5.4-mini'!A:A,0)),""))))</f>
        <v>1</v>
      </c>
      <c r="C59" s="14">
        <f>COUNTIF('Hand Coded'!F:F,A59)</f>
        <v>4</v>
      </c>
      <c r="D59" s="15">
        <f t="shared" si="1"/>
        <v>0.25</v>
      </c>
    </row>
    <row r="60" spans="1:4" x14ac:dyDescent="0.2">
      <c r="A60" s="11" t="s">
        <v>38</v>
      </c>
      <c r="B60" s="14" cm="1">
        <f t="array" ref="B60">SUMPRODUCT(('Hand Coded'!F$2:F$10000=A60)*(LOWER('Hand Coded'!F$2:F$10000)=LOWER(IFERROR(INDEX('gpt-5.4-mini'!I:I,MATCH('Hand Coded'!A$2:A$10000,'gpt-5.4-mini'!A:A,0)),""))))</f>
        <v>1</v>
      </c>
      <c r="C60" s="14">
        <f>COUNTIF('Hand Coded'!F:F,A60)</f>
        <v>2</v>
      </c>
      <c r="D60" s="15">
        <f t="shared" si="1"/>
        <v>0.5</v>
      </c>
    </row>
    <row r="61" spans="1:4" x14ac:dyDescent="0.2">
      <c r="A61" s="11" t="s">
        <v>279</v>
      </c>
      <c r="B61" s="14" cm="1">
        <f t="array" ref="B61">SUMPRODUCT(('Hand Coded'!F$2:F$10000=A61)*(LOWER('Hand Coded'!F$2:F$10000)=LOWER(IFERROR(INDEX('gpt-5.4-mini'!I:I,MATCH('Hand Coded'!A$2:A$10000,'gpt-5.4-mini'!A:A,0)),""))))</f>
        <v>0</v>
      </c>
      <c r="C61" s="14">
        <f>COUNTIF('Hand Coded'!F:F,A61)</f>
        <v>1</v>
      </c>
      <c r="D61" s="15">
        <f t="shared" si="1"/>
        <v>0</v>
      </c>
    </row>
    <row r="62" spans="1:4" x14ac:dyDescent="0.2">
      <c r="A62" s="11" t="s">
        <v>129</v>
      </c>
      <c r="B62" s="14" cm="1">
        <f t="array" ref="B62">SUMPRODUCT(('Hand Coded'!F$2:F$10000=A62)*(LOWER('Hand Coded'!F$2:F$10000)=LOWER(IFERROR(INDEX('gpt-5.4-mini'!I:I,MATCH('Hand Coded'!A$2:A$10000,'gpt-5.4-mini'!A:A,0)),""))))</f>
        <v>1</v>
      </c>
      <c r="C62" s="14">
        <f>COUNTIF('Hand Coded'!F:F,A62)</f>
        <v>1</v>
      </c>
      <c r="D62" s="15">
        <f t="shared" si="1"/>
        <v>1</v>
      </c>
    </row>
    <row r="63" spans="1:4" x14ac:dyDescent="0.2">
      <c r="A63" s="11" t="s">
        <v>81</v>
      </c>
      <c r="B63" s="14" cm="1">
        <f t="array" ref="B63">SUMPRODUCT(('Hand Coded'!F$2:F$10000=A63)*(LOWER('Hand Coded'!F$2:F$10000)=LOWER(IFERROR(INDEX('gpt-5.4-mini'!I:I,MATCH('Hand Coded'!A$2:A$10000,'gpt-5.4-mini'!A:A,0)),""))))</f>
        <v>2</v>
      </c>
      <c r="C63" s="14">
        <f>COUNTIF('Hand Coded'!F:F,A63)</f>
        <v>3</v>
      </c>
      <c r="D63" s="15">
        <f t="shared" si="1"/>
        <v>0.66666666666666663</v>
      </c>
    </row>
    <row r="64" spans="1:4" x14ac:dyDescent="0.2">
      <c r="A64" s="11" t="s">
        <v>423</v>
      </c>
      <c r="B64" s="14" cm="1">
        <f t="array" ref="B64">SUMPRODUCT(('Hand Coded'!F$2:F$10000=A64)*(LOWER('Hand Coded'!F$2:F$10000)=LOWER(IFERROR(INDEX('gpt-5.4-mini'!I:I,MATCH('Hand Coded'!A$2:A$10000,'gpt-5.4-mini'!A:A,0)),""))))</f>
        <v>0</v>
      </c>
      <c r="C64" s="14">
        <f>COUNTIF('Hand Coded'!F:F,A64)</f>
        <v>1</v>
      </c>
      <c r="D64" s="15">
        <f t="shared" si="1"/>
        <v>0</v>
      </c>
    </row>
    <row r="65" spans="1:4" x14ac:dyDescent="0.2">
      <c r="A65" s="11" t="s">
        <v>15</v>
      </c>
      <c r="B65" s="14" cm="1">
        <f t="array" ref="B65">SUMPRODUCT(('Hand Coded'!F$2:F$10000=A65)*(LOWER('Hand Coded'!F$2:F$10000)=LOWER(IFERROR(INDEX('gpt-5.4-mini'!I:I,MATCH('Hand Coded'!A$2:A$10000,'gpt-5.4-mini'!A:A,0)),""))))</f>
        <v>0</v>
      </c>
      <c r="C65" s="14">
        <f>COUNTIF('Hand Coded'!F:F,A65)</f>
        <v>1</v>
      </c>
      <c r="D65" s="15">
        <f t="shared" si="1"/>
        <v>0</v>
      </c>
    </row>
    <row r="66" spans="1:4" x14ac:dyDescent="0.2">
      <c r="A66" s="11" t="s">
        <v>71</v>
      </c>
      <c r="B66" s="14" cm="1">
        <f t="array" ref="B66">SUMPRODUCT(('Hand Coded'!F$2:F$10000=A66)*(LOWER('Hand Coded'!F$2:F$10000)=LOWER(IFERROR(INDEX('gpt-5.4-mini'!I:I,MATCH('Hand Coded'!A$2:A$10000,'gpt-5.4-mini'!A:A,0)),""))))</f>
        <v>1</v>
      </c>
      <c r="C66" s="14">
        <f>COUNTIF('Hand Coded'!F:F,A66)</f>
        <v>1</v>
      </c>
      <c r="D66" s="15">
        <f t="shared" si="1"/>
        <v>1</v>
      </c>
    </row>
    <row r="67" spans="1:4" x14ac:dyDescent="0.2">
      <c r="A67" s="11" t="s">
        <v>61</v>
      </c>
      <c r="B67" s="14" cm="1">
        <f t="array" ref="B67">SUMPRODUCT(('Hand Coded'!F$2:F$10000=A67)*(LOWER('Hand Coded'!F$2:F$10000)=LOWER(IFERROR(INDEX('gpt-5.4-mini'!I:I,MATCH('Hand Coded'!A$2:A$10000,'gpt-5.4-mini'!A:A,0)),""))))</f>
        <v>15</v>
      </c>
      <c r="C67" s="14">
        <f>COUNTIF('Hand Coded'!F:F,A67)</f>
        <v>33</v>
      </c>
      <c r="D67" s="15">
        <f t="shared" si="1"/>
        <v>0.45454545454545453</v>
      </c>
    </row>
    <row r="68" spans="1:4" x14ac:dyDescent="0.2">
      <c r="A68" s="11" t="s">
        <v>79</v>
      </c>
      <c r="B68" s="14" cm="1">
        <f t="array" ref="B68">SUMPRODUCT(('Hand Coded'!F$2:F$10000=A68)*(LOWER('Hand Coded'!F$2:F$10000)=LOWER(IFERROR(INDEX('gpt-5.4-mini'!I:I,MATCH('Hand Coded'!A$2:A$10000,'gpt-5.4-mini'!A:A,0)),""))))</f>
        <v>1</v>
      </c>
      <c r="C68" s="14">
        <f>COUNTIF('Hand Coded'!F:F,A68)</f>
        <v>3</v>
      </c>
      <c r="D68" s="15">
        <f t="shared" si="1"/>
        <v>0.33333333333333331</v>
      </c>
    </row>
    <row r="69" spans="1:4" x14ac:dyDescent="0.2">
      <c r="A69" s="11" t="s">
        <v>65</v>
      </c>
      <c r="B69" s="14" cm="1">
        <f t="array" ref="B69">SUMPRODUCT(('Hand Coded'!F$2:F$10000=A69)*(LOWER('Hand Coded'!F$2:F$10000)=LOWER(IFERROR(INDEX('gpt-5.4-mini'!I:I,MATCH('Hand Coded'!A$2:A$10000,'gpt-5.4-mini'!A:A,0)),""))))</f>
        <v>2</v>
      </c>
      <c r="C69" s="14">
        <f>COUNTIF('Hand Coded'!F:F,A69)</f>
        <v>3</v>
      </c>
      <c r="D69" s="15">
        <f t="shared" si="1"/>
        <v>0.66666666666666663</v>
      </c>
    </row>
    <row r="70" spans="1:4" x14ac:dyDescent="0.2">
      <c r="A70" s="11" t="s">
        <v>121</v>
      </c>
      <c r="B70" s="14" cm="1">
        <f t="array" ref="B70">SUMPRODUCT(('Hand Coded'!F$2:F$10000=A70)*(LOWER('Hand Coded'!F$2:F$10000)=LOWER(IFERROR(INDEX('gpt-5.4-mini'!I:I,MATCH('Hand Coded'!A$2:A$10000,'gpt-5.4-mini'!A:A,0)),""))))</f>
        <v>1</v>
      </c>
      <c r="C70" s="14">
        <f>COUNTIF('Hand Coded'!F:F,A70)</f>
        <v>4</v>
      </c>
      <c r="D70" s="15">
        <f t="shared" si="1"/>
        <v>0.25</v>
      </c>
    </row>
    <row r="71" spans="1:4" x14ac:dyDescent="0.2">
      <c r="A71" s="11" t="s">
        <v>29</v>
      </c>
      <c r="B71" s="14" cm="1">
        <f t="array" ref="B71">SUMPRODUCT(('Hand Coded'!F$2:F$10000=A71)*(LOWER('Hand Coded'!F$2:F$10000)=LOWER(IFERROR(INDEX('gpt-5.4-mini'!I:I,MATCH('Hand Coded'!A$2:A$10000,'gpt-5.4-mini'!A:A,0)),""))))</f>
        <v>8</v>
      </c>
      <c r="C71" s="14">
        <f>COUNTIF('Hand Coded'!F:F,A71)</f>
        <v>9</v>
      </c>
      <c r="D71" s="15">
        <f t="shared" si="1"/>
        <v>0.88888888888888884</v>
      </c>
    </row>
    <row r="72" spans="1:4" x14ac:dyDescent="0.2">
      <c r="A72" s="11" t="s">
        <v>132</v>
      </c>
      <c r="B72" s="14" cm="1">
        <f t="array" ref="B72">SUMPRODUCT(('Hand Coded'!F$2:F$10000=A72)*(LOWER('Hand Coded'!F$2:F$10000)=LOWER(IFERROR(INDEX('gpt-5.4-mini'!I:I,MATCH('Hand Coded'!A$2:A$10000,'gpt-5.4-mini'!A:A,0)),""))))</f>
        <v>0</v>
      </c>
      <c r="C72" s="14">
        <f>COUNTIF('Hand Coded'!F:F,A72)</f>
        <v>1</v>
      </c>
      <c r="D72" s="15">
        <f t="shared" si="1"/>
        <v>0</v>
      </c>
    </row>
    <row r="73" spans="1:4" x14ac:dyDescent="0.2">
      <c r="A73" s="11" t="s">
        <v>41</v>
      </c>
      <c r="B73" s="14" cm="1">
        <f t="array" ref="B73">SUMPRODUCT(('Hand Coded'!F$2:F$10000=A73)*(LOWER('Hand Coded'!F$2:F$10000)=LOWER(IFERROR(INDEX('gpt-5.4-mini'!I:I,MATCH('Hand Coded'!A$2:A$10000,'gpt-5.4-mini'!A:A,0)),""))))</f>
        <v>0</v>
      </c>
      <c r="C73" s="14">
        <f>COUNTIF('Hand Coded'!F:F,A73)</f>
        <v>1</v>
      </c>
      <c r="D73" s="15">
        <f t="shared" si="1"/>
        <v>0</v>
      </c>
    </row>
    <row r="74" spans="1:4" x14ac:dyDescent="0.2">
      <c r="A74" s="11" t="s">
        <v>82</v>
      </c>
      <c r="B74" s="14" cm="1">
        <f t="array" ref="B74">SUMPRODUCT(('Hand Coded'!F$2:F$10000=A74)*(LOWER('Hand Coded'!F$2:F$10000)=LOWER(IFERROR(INDEX('gpt-5.4-mini'!I:I,MATCH('Hand Coded'!A$2:A$10000,'gpt-5.4-mini'!A:A,0)),""))))</f>
        <v>4</v>
      </c>
      <c r="C74" s="14">
        <f>COUNTIF('Hand Coded'!F:F,A74)</f>
        <v>6</v>
      </c>
      <c r="D74" s="15">
        <f t="shared" si="1"/>
        <v>0.66666666666666663</v>
      </c>
    </row>
    <row r="75" spans="1:4" x14ac:dyDescent="0.2">
      <c r="A75" s="11" t="s">
        <v>412</v>
      </c>
      <c r="B75" s="14" cm="1">
        <f t="array" ref="B75">SUMPRODUCT(('Hand Coded'!F$2:F$10000=A75)*(LOWER('Hand Coded'!F$2:F$10000)=LOWER(IFERROR(INDEX('gpt-5.4-mini'!I:I,MATCH('Hand Coded'!A$2:A$10000,'gpt-5.4-mini'!A:A,0)),""))))</f>
        <v>0</v>
      </c>
      <c r="C75" s="14">
        <f>COUNTIF('Hand Coded'!F:F,A75)</f>
        <v>8</v>
      </c>
      <c r="D75" s="15">
        <f t="shared" si="1"/>
        <v>0</v>
      </c>
    </row>
    <row r="76" spans="1:4" x14ac:dyDescent="0.2">
      <c r="A76" s="11" t="s">
        <v>68</v>
      </c>
      <c r="B76" s="14" cm="1">
        <f t="array" ref="B76">SUMPRODUCT(('Hand Coded'!F$2:F$10000=A76)*(LOWER('Hand Coded'!F$2:F$10000)=LOWER(IFERROR(INDEX('gpt-5.4-mini'!I:I,MATCH('Hand Coded'!A$2:A$10000,'gpt-5.4-mini'!A:A,0)),""))))</f>
        <v>3</v>
      </c>
      <c r="C76" s="14">
        <f>COUNTIF('Hand Coded'!F:F,A76)</f>
        <v>6</v>
      </c>
      <c r="D76" s="15">
        <f t="shared" si="1"/>
        <v>0.5</v>
      </c>
    </row>
    <row r="77" spans="1:4" x14ac:dyDescent="0.2">
      <c r="A77" s="11" t="s">
        <v>94</v>
      </c>
      <c r="B77" s="14" cm="1">
        <f t="array" ref="B77">SUMPRODUCT(('Hand Coded'!F$2:F$10000=A77)*(LOWER('Hand Coded'!F$2:F$10000)=LOWER(IFERROR(INDEX('gpt-5.4-mini'!I:I,MATCH('Hand Coded'!A$2:A$10000,'gpt-5.4-mini'!A:A,0)),""))))</f>
        <v>0</v>
      </c>
      <c r="C77" s="14">
        <f>COUNTIF('Hand Coded'!F:F,A77)</f>
        <v>1</v>
      </c>
      <c r="D77" s="15">
        <f t="shared" si="1"/>
        <v>0</v>
      </c>
    </row>
    <row r="78" spans="1:4" x14ac:dyDescent="0.2">
      <c r="A78" s="11" t="s">
        <v>73</v>
      </c>
      <c r="B78" s="14" cm="1">
        <f t="array" ref="B78">SUMPRODUCT(('Hand Coded'!F$2:F$10000=A78)*(LOWER('Hand Coded'!F$2:F$10000)=LOWER(IFERROR(INDEX('gpt-5.4-mini'!I:I,MATCH('Hand Coded'!A$2:A$10000,'gpt-5.4-mini'!A:A,0)),""))))</f>
        <v>3</v>
      </c>
      <c r="C78" s="14">
        <f>COUNTIF('Hand Coded'!F:F,A78)</f>
        <v>4</v>
      </c>
      <c r="D78" s="15">
        <f t="shared" si="1"/>
        <v>0.75</v>
      </c>
    </row>
    <row r="79" spans="1:4" x14ac:dyDescent="0.2">
      <c r="A79" s="11" t="s">
        <v>22</v>
      </c>
      <c r="B79" s="14" cm="1">
        <f t="array" ref="B79">SUMPRODUCT(('Hand Coded'!F$2:F$10000=A79)*(LOWER('Hand Coded'!F$2:F$10000)=LOWER(IFERROR(INDEX('gpt-5.4-mini'!I:I,MATCH('Hand Coded'!A$2:A$10000,'gpt-5.4-mini'!A:A,0)),""))))</f>
        <v>2</v>
      </c>
      <c r="C79" s="14">
        <f>COUNTIF('Hand Coded'!F:F,A79)</f>
        <v>3</v>
      </c>
      <c r="D79" s="15">
        <f t="shared" si="1"/>
        <v>0.66666666666666663</v>
      </c>
    </row>
    <row r="80" spans="1:4" x14ac:dyDescent="0.2">
      <c r="A80" s="11" t="s">
        <v>106</v>
      </c>
      <c r="B80" s="14" cm="1">
        <f t="array" ref="B80">SUMPRODUCT(('Hand Coded'!F$2:F$10000=A80)*(LOWER('Hand Coded'!F$2:F$10000)=LOWER(IFERROR(INDEX('gpt-5.4-mini'!I:I,MATCH('Hand Coded'!A$2:A$10000,'gpt-5.4-mini'!A:A,0)),""))))</f>
        <v>0</v>
      </c>
      <c r="C80" s="14">
        <f>COUNTIF('Hand Coded'!F:F,A80)</f>
        <v>1</v>
      </c>
      <c r="D80" s="15">
        <f t="shared" si="1"/>
        <v>0</v>
      </c>
    </row>
    <row r="81" spans="1:4" x14ac:dyDescent="0.2">
      <c r="A81" s="11" t="s">
        <v>24</v>
      </c>
      <c r="B81" s="14" cm="1">
        <f t="array" ref="B81">SUMPRODUCT(('Hand Coded'!F$2:F$10000=A81)*(LOWER('Hand Coded'!F$2:F$10000)=LOWER(IFERROR(INDEX('gpt-5.4-mini'!I:I,MATCH('Hand Coded'!A$2:A$10000,'gpt-5.4-mini'!A:A,0)),""))))</f>
        <v>22</v>
      </c>
      <c r="C81" s="14">
        <f>COUNTIF('Hand Coded'!F:F,A81)</f>
        <v>30</v>
      </c>
      <c r="D81" s="15">
        <f t="shared" si="1"/>
        <v>0.73333333333333328</v>
      </c>
    </row>
    <row r="82" spans="1:4" ht="16" thickBot="1" x14ac:dyDescent="0.25">
      <c r="A82" s="12" t="s">
        <v>390</v>
      </c>
      <c r="B82" s="16" cm="1">
        <f t="array" ref="B82">SUMPRODUCT(('Hand Coded'!F$2:F$10000=A82)*(LOWER('Hand Coded'!F$2:F$10000)=LOWER(IFERROR(INDEX('gpt-5.4-mini'!I:I,MATCH('Hand Coded'!A$2:A$10000,'gpt-5.4-mini'!A:A,0)),""))))</f>
        <v>14</v>
      </c>
      <c r="C82" s="16">
        <f>COUNTIF('Hand Coded'!F:F,A82)</f>
        <v>19</v>
      </c>
      <c r="D82" s="17">
        <f t="shared" si="1"/>
        <v>0.73684210526315785</v>
      </c>
    </row>
    <row r="83" spans="1:4" x14ac:dyDescent="0.2">
      <c r="A83" s="13" t="s">
        <v>437</v>
      </c>
      <c r="B83" s="18">
        <f>SUM(B45:B82)</f>
        <v>134</v>
      </c>
      <c r="C83" s="18">
        <f>SUM(C45:C82)</f>
        <v>225</v>
      </c>
      <c r="D83" s="19">
        <f t="shared" si="1"/>
        <v>0.5955555555555555</v>
      </c>
    </row>
    <row r="85" spans="1:4" ht="17" x14ac:dyDescent="0.2">
      <c r="A85" s="9" t="s">
        <v>255</v>
      </c>
    </row>
    <row r="86" spans="1:4" x14ac:dyDescent="0.2">
      <c r="A86" s="10" t="s">
        <v>462</v>
      </c>
      <c r="B86" s="20" t="s">
        <v>434</v>
      </c>
      <c r="C86" s="20" t="s">
        <v>435</v>
      </c>
      <c r="D86" s="21" t="s">
        <v>436</v>
      </c>
    </row>
    <row r="87" spans="1:4" x14ac:dyDescent="0.2">
      <c r="A87" s="11" t="s">
        <v>288</v>
      </c>
      <c r="B87" s="14" cm="1">
        <f t="array" ref="B87">SUMPRODUCT(('Hand Coded'!F$2:F$10000=A87)*(LOWER('Hand Coded'!F$2:F$10000)=LOWER(IFERROR(INDEX('claude-sonnet-4-6'!I:I,MATCH('Hand Coded'!A$2:A$10000,'claude-sonnet-4-6'!A:A,0)),""))))</f>
        <v>1</v>
      </c>
      <c r="C87" s="14">
        <f>COUNTIF('Hand Coded'!F:F,A87)</f>
        <v>1</v>
      </c>
      <c r="D87" s="15">
        <f t="shared" ref="D87:D125" si="2">IF(C87=0,"",B87/C87)</f>
        <v>1</v>
      </c>
    </row>
    <row r="88" spans="1:4" x14ac:dyDescent="0.2">
      <c r="A88" s="11" t="s">
        <v>49</v>
      </c>
      <c r="B88" s="14" cm="1">
        <f t="array" ref="B88">SUMPRODUCT(('Hand Coded'!F$2:F$10000=A88)*(LOWER('Hand Coded'!F$2:F$10000)=LOWER(IFERROR(INDEX('claude-sonnet-4-6'!I:I,MATCH('Hand Coded'!A$2:A$10000,'claude-sonnet-4-6'!A:A,0)),""))))</f>
        <v>18</v>
      </c>
      <c r="C88" s="14">
        <f>COUNTIF('Hand Coded'!F:F,A88)</f>
        <v>18</v>
      </c>
      <c r="D88" s="15">
        <f t="shared" si="2"/>
        <v>1</v>
      </c>
    </row>
    <row r="89" spans="1:4" x14ac:dyDescent="0.2">
      <c r="A89" s="11" t="s">
        <v>85</v>
      </c>
      <c r="B89" s="14" cm="1">
        <f t="array" ref="B89">SUMPRODUCT(('Hand Coded'!F$2:F$10000=A89)*(LOWER('Hand Coded'!F$2:F$10000)=LOWER(IFERROR(INDEX('claude-sonnet-4-6'!I:I,MATCH('Hand Coded'!A$2:A$10000,'claude-sonnet-4-6'!A:A,0)),""))))</f>
        <v>5</v>
      </c>
      <c r="C89" s="14">
        <f>COUNTIF('Hand Coded'!F:F,A89)</f>
        <v>5</v>
      </c>
      <c r="D89" s="15">
        <f t="shared" si="2"/>
        <v>1</v>
      </c>
    </row>
    <row r="90" spans="1:4" x14ac:dyDescent="0.2">
      <c r="A90" s="11" t="s">
        <v>78</v>
      </c>
      <c r="B90" s="14" cm="1">
        <f t="array" ref="B90">SUMPRODUCT(('Hand Coded'!F$2:F$10000=A90)*(LOWER('Hand Coded'!F$2:F$10000)=LOWER(IFERROR(INDEX('claude-sonnet-4-6'!I:I,MATCH('Hand Coded'!A$2:A$10000,'claude-sonnet-4-6'!A:A,0)),""))))</f>
        <v>6</v>
      </c>
      <c r="C90" s="14">
        <f>COUNTIF('Hand Coded'!F:F,A90)</f>
        <v>7</v>
      </c>
      <c r="D90" s="15">
        <f t="shared" si="2"/>
        <v>0.8571428571428571</v>
      </c>
    </row>
    <row r="91" spans="1:4" x14ac:dyDescent="0.2">
      <c r="A91" s="11" t="s">
        <v>60</v>
      </c>
      <c r="B91" s="14" cm="1">
        <f t="array" ref="B91">SUMPRODUCT(('Hand Coded'!F$2:F$10000=A91)*(LOWER('Hand Coded'!F$2:F$10000)=LOWER(IFERROR(INDEX('claude-sonnet-4-6'!I:I,MATCH('Hand Coded'!A$2:A$10000,'claude-sonnet-4-6'!A:A,0)),""))))</f>
        <v>0</v>
      </c>
      <c r="C91" s="14">
        <f>COUNTIF('Hand Coded'!F:F,A91)</f>
        <v>0</v>
      </c>
      <c r="D91" s="15" t="str">
        <f t="shared" si="2"/>
        <v/>
      </c>
    </row>
    <row r="92" spans="1:4" x14ac:dyDescent="0.2">
      <c r="A92" s="11" t="s">
        <v>113</v>
      </c>
      <c r="B92" s="14" cm="1">
        <f t="array" ref="B92">SUMPRODUCT(('Hand Coded'!F$2:F$10000=A92)*(LOWER('Hand Coded'!F$2:F$10000)=LOWER(IFERROR(INDEX('claude-sonnet-4-6'!I:I,MATCH('Hand Coded'!A$2:A$10000,'claude-sonnet-4-6'!A:A,0)),""))))</f>
        <v>1</v>
      </c>
      <c r="C92" s="14">
        <f>COUNTIF('Hand Coded'!F:F,A92)</f>
        <v>2</v>
      </c>
      <c r="D92" s="15">
        <f t="shared" si="2"/>
        <v>0.5</v>
      </c>
    </row>
    <row r="93" spans="1:4" x14ac:dyDescent="0.2">
      <c r="A93" s="11" t="s">
        <v>323</v>
      </c>
      <c r="B93" s="14" cm="1">
        <f t="array" ref="B93">SUMPRODUCT(('Hand Coded'!F$2:F$10000=A93)*(LOWER('Hand Coded'!F$2:F$10000)=LOWER(IFERROR(INDEX('claude-sonnet-4-6'!I:I,MATCH('Hand Coded'!A$2:A$10000,'claude-sonnet-4-6'!A:A,0)),""))))</f>
        <v>1</v>
      </c>
      <c r="C93" s="14">
        <f>COUNTIF('Hand Coded'!F:F,A93)</f>
        <v>1</v>
      </c>
      <c r="D93" s="15">
        <f t="shared" si="2"/>
        <v>1</v>
      </c>
    </row>
    <row r="94" spans="1:4" x14ac:dyDescent="0.2">
      <c r="A94" s="11" t="s">
        <v>80</v>
      </c>
      <c r="B94" s="14" cm="1">
        <f t="array" ref="B94">SUMPRODUCT(('Hand Coded'!F$2:F$10000=A94)*(LOWER('Hand Coded'!F$2:F$10000)=LOWER(IFERROR(INDEX('claude-sonnet-4-6'!I:I,MATCH('Hand Coded'!A$2:A$10000,'claude-sonnet-4-6'!A:A,0)),""))))</f>
        <v>2</v>
      </c>
      <c r="C94" s="14">
        <f>COUNTIF('Hand Coded'!F:F,A94)</f>
        <v>5</v>
      </c>
      <c r="D94" s="15">
        <f t="shared" si="2"/>
        <v>0.4</v>
      </c>
    </row>
    <row r="95" spans="1:4" x14ac:dyDescent="0.2">
      <c r="A95" s="11" t="s">
        <v>124</v>
      </c>
      <c r="B95" s="14" cm="1">
        <f t="array" ref="B95">SUMPRODUCT(('Hand Coded'!F$2:F$10000=A95)*(LOWER('Hand Coded'!F$2:F$10000)=LOWER(IFERROR(INDEX('claude-sonnet-4-6'!I:I,MATCH('Hand Coded'!A$2:A$10000,'claude-sonnet-4-6'!A:A,0)),""))))</f>
        <v>2</v>
      </c>
      <c r="C95" s="14">
        <f>COUNTIF('Hand Coded'!F:F,A95)</f>
        <v>3</v>
      </c>
      <c r="D95" s="15">
        <f t="shared" si="2"/>
        <v>0.66666666666666663</v>
      </c>
    </row>
    <row r="96" spans="1:4" x14ac:dyDescent="0.2">
      <c r="A96" s="11" t="s">
        <v>45</v>
      </c>
      <c r="B96" s="14" cm="1">
        <f t="array" ref="B96">SUMPRODUCT(('Hand Coded'!F$2:F$10000=A96)*(LOWER('Hand Coded'!F$2:F$10000)=LOWER(IFERROR(INDEX('claude-sonnet-4-6'!I:I,MATCH('Hand Coded'!A$2:A$10000,'claude-sonnet-4-6'!A:A,0)),""))))</f>
        <v>13</v>
      </c>
      <c r="C96" s="14">
        <f>COUNTIF('Hand Coded'!F:F,A96)</f>
        <v>14</v>
      </c>
      <c r="D96" s="15">
        <f t="shared" si="2"/>
        <v>0.9285714285714286</v>
      </c>
    </row>
    <row r="97" spans="1:4" x14ac:dyDescent="0.2">
      <c r="A97" s="11" t="s">
        <v>50</v>
      </c>
      <c r="B97" s="14" cm="1">
        <f t="array" ref="B97">SUMPRODUCT(('Hand Coded'!F$2:F$10000=A97)*(LOWER('Hand Coded'!F$2:F$10000)=LOWER(IFERROR(INDEX('claude-sonnet-4-6'!I:I,MATCH('Hand Coded'!A$2:A$10000,'claude-sonnet-4-6'!A:A,0)),""))))</f>
        <v>6</v>
      </c>
      <c r="C97" s="14">
        <f>COUNTIF('Hand Coded'!F:F,A97)</f>
        <v>6</v>
      </c>
      <c r="D97" s="15">
        <f t="shared" si="2"/>
        <v>1</v>
      </c>
    </row>
    <row r="98" spans="1:4" x14ac:dyDescent="0.2">
      <c r="A98" s="11" t="s">
        <v>84</v>
      </c>
      <c r="B98" s="14" cm="1">
        <f t="array" ref="B98">SUMPRODUCT(('Hand Coded'!F$2:F$10000=A98)*(LOWER('Hand Coded'!F$2:F$10000)=LOWER(IFERROR(INDEX('claude-sonnet-4-6'!I:I,MATCH('Hand Coded'!A$2:A$10000,'claude-sonnet-4-6'!A:A,0)),""))))</f>
        <v>1</v>
      </c>
      <c r="C98" s="14">
        <f>COUNTIF('Hand Coded'!F:F,A98)</f>
        <v>1</v>
      </c>
      <c r="D98" s="15">
        <f t="shared" si="2"/>
        <v>1</v>
      </c>
    </row>
    <row r="99" spans="1:4" x14ac:dyDescent="0.2">
      <c r="A99" s="11" t="s">
        <v>69</v>
      </c>
      <c r="B99" s="14" cm="1">
        <f t="array" ref="B99">SUMPRODUCT(('Hand Coded'!F$2:F$10000=A99)*(LOWER('Hand Coded'!F$2:F$10000)=LOWER(IFERROR(INDEX('claude-sonnet-4-6'!I:I,MATCH('Hand Coded'!A$2:A$10000,'claude-sonnet-4-6'!A:A,0)),""))))</f>
        <v>1</v>
      </c>
      <c r="C99" s="14">
        <f>COUNTIF('Hand Coded'!F:F,A99)</f>
        <v>2</v>
      </c>
      <c r="D99" s="15">
        <f t="shared" si="2"/>
        <v>0.5</v>
      </c>
    </row>
    <row r="100" spans="1:4" x14ac:dyDescent="0.2">
      <c r="A100" s="11" t="s">
        <v>57</v>
      </c>
      <c r="B100" s="14" cm="1">
        <f t="array" ref="B100">SUMPRODUCT(('Hand Coded'!F$2:F$10000=A100)*(LOWER('Hand Coded'!F$2:F$10000)=LOWER(IFERROR(INDEX('claude-sonnet-4-6'!I:I,MATCH('Hand Coded'!A$2:A$10000,'claude-sonnet-4-6'!A:A,0)),""))))</f>
        <v>14</v>
      </c>
      <c r="C100" s="14">
        <f>COUNTIF('Hand Coded'!F:F,A100)</f>
        <v>14</v>
      </c>
      <c r="D100" s="15">
        <f t="shared" si="2"/>
        <v>1</v>
      </c>
    </row>
    <row r="101" spans="1:4" x14ac:dyDescent="0.2">
      <c r="A101" s="11" t="s">
        <v>130</v>
      </c>
      <c r="B101" s="14" cm="1">
        <f t="array" ref="B101">SUMPRODUCT(('Hand Coded'!F$2:F$10000=A101)*(LOWER('Hand Coded'!F$2:F$10000)=LOWER(IFERROR(INDEX('claude-sonnet-4-6'!I:I,MATCH('Hand Coded'!A$2:A$10000,'claude-sonnet-4-6'!A:A,0)),""))))</f>
        <v>2</v>
      </c>
      <c r="C101" s="14">
        <f>COUNTIF('Hand Coded'!F:F,A101)</f>
        <v>4</v>
      </c>
      <c r="D101" s="15">
        <f t="shared" si="2"/>
        <v>0.5</v>
      </c>
    </row>
    <row r="102" spans="1:4" x14ac:dyDescent="0.2">
      <c r="A102" s="11" t="s">
        <v>38</v>
      </c>
      <c r="B102" s="14" cm="1">
        <f t="array" ref="B102">SUMPRODUCT(('Hand Coded'!F$2:F$10000=A102)*(LOWER('Hand Coded'!F$2:F$10000)=LOWER(IFERROR(INDEX('claude-sonnet-4-6'!I:I,MATCH('Hand Coded'!A$2:A$10000,'claude-sonnet-4-6'!A:A,0)),""))))</f>
        <v>1</v>
      </c>
      <c r="C102" s="14">
        <f>COUNTIF('Hand Coded'!F:F,A102)</f>
        <v>2</v>
      </c>
      <c r="D102" s="15">
        <f t="shared" si="2"/>
        <v>0.5</v>
      </c>
    </row>
    <row r="103" spans="1:4" x14ac:dyDescent="0.2">
      <c r="A103" s="11" t="s">
        <v>279</v>
      </c>
      <c r="B103" s="14" cm="1">
        <f t="array" ref="B103">SUMPRODUCT(('Hand Coded'!F$2:F$10000=A103)*(LOWER('Hand Coded'!F$2:F$10000)=LOWER(IFERROR(INDEX('claude-sonnet-4-6'!I:I,MATCH('Hand Coded'!A$2:A$10000,'claude-sonnet-4-6'!A:A,0)),""))))</f>
        <v>1</v>
      </c>
      <c r="C103" s="14">
        <f>COUNTIF('Hand Coded'!F:F,A103)</f>
        <v>1</v>
      </c>
      <c r="D103" s="15">
        <f t="shared" si="2"/>
        <v>1</v>
      </c>
    </row>
    <row r="104" spans="1:4" x14ac:dyDescent="0.2">
      <c r="A104" s="11" t="s">
        <v>129</v>
      </c>
      <c r="B104" s="14" cm="1">
        <f t="array" ref="B104">SUMPRODUCT(('Hand Coded'!F$2:F$10000=A104)*(LOWER('Hand Coded'!F$2:F$10000)=LOWER(IFERROR(INDEX('claude-sonnet-4-6'!I:I,MATCH('Hand Coded'!A$2:A$10000,'claude-sonnet-4-6'!A:A,0)),""))))</f>
        <v>1</v>
      </c>
      <c r="C104" s="14">
        <f>COUNTIF('Hand Coded'!F:F,A104)</f>
        <v>1</v>
      </c>
      <c r="D104" s="15">
        <f t="shared" si="2"/>
        <v>1</v>
      </c>
    </row>
    <row r="105" spans="1:4" x14ac:dyDescent="0.2">
      <c r="A105" s="11" t="s">
        <v>81</v>
      </c>
      <c r="B105" s="14" cm="1">
        <f t="array" ref="B105">SUMPRODUCT(('Hand Coded'!F$2:F$10000=A105)*(LOWER('Hand Coded'!F$2:F$10000)=LOWER(IFERROR(INDEX('claude-sonnet-4-6'!I:I,MATCH('Hand Coded'!A$2:A$10000,'claude-sonnet-4-6'!A:A,0)),""))))</f>
        <v>3</v>
      </c>
      <c r="C105" s="14">
        <f>COUNTIF('Hand Coded'!F:F,A105)</f>
        <v>3</v>
      </c>
      <c r="D105" s="15">
        <f t="shared" si="2"/>
        <v>1</v>
      </c>
    </row>
    <row r="106" spans="1:4" x14ac:dyDescent="0.2">
      <c r="A106" s="11" t="s">
        <v>423</v>
      </c>
      <c r="B106" s="14" cm="1">
        <f t="array" ref="B106">SUMPRODUCT(('Hand Coded'!F$2:F$10000=A106)*(LOWER('Hand Coded'!F$2:F$10000)=LOWER(IFERROR(INDEX('claude-sonnet-4-6'!I:I,MATCH('Hand Coded'!A$2:A$10000,'claude-sonnet-4-6'!A:A,0)),""))))</f>
        <v>0</v>
      </c>
      <c r="C106" s="14">
        <f>COUNTIF('Hand Coded'!F:F,A106)</f>
        <v>1</v>
      </c>
      <c r="D106" s="15">
        <f t="shared" si="2"/>
        <v>0</v>
      </c>
    </row>
    <row r="107" spans="1:4" x14ac:dyDescent="0.2">
      <c r="A107" s="11" t="s">
        <v>15</v>
      </c>
      <c r="B107" s="14" cm="1">
        <f t="array" ref="B107">SUMPRODUCT(('Hand Coded'!F$2:F$10000=A107)*(LOWER('Hand Coded'!F$2:F$10000)=LOWER(IFERROR(INDEX('claude-sonnet-4-6'!I:I,MATCH('Hand Coded'!A$2:A$10000,'claude-sonnet-4-6'!A:A,0)),""))))</f>
        <v>0</v>
      </c>
      <c r="C107" s="14">
        <f>COUNTIF('Hand Coded'!F:F,A107)</f>
        <v>1</v>
      </c>
      <c r="D107" s="15">
        <f t="shared" si="2"/>
        <v>0</v>
      </c>
    </row>
    <row r="108" spans="1:4" x14ac:dyDescent="0.2">
      <c r="A108" s="11" t="s">
        <v>71</v>
      </c>
      <c r="B108" s="14" cm="1">
        <f t="array" ref="B108">SUMPRODUCT(('Hand Coded'!F$2:F$10000=A108)*(LOWER('Hand Coded'!F$2:F$10000)=LOWER(IFERROR(INDEX('claude-sonnet-4-6'!I:I,MATCH('Hand Coded'!A$2:A$10000,'claude-sonnet-4-6'!A:A,0)),""))))</f>
        <v>1</v>
      </c>
      <c r="C108" s="14">
        <f>COUNTIF('Hand Coded'!F:F,A108)</f>
        <v>1</v>
      </c>
      <c r="D108" s="15">
        <f t="shared" si="2"/>
        <v>1</v>
      </c>
    </row>
    <row r="109" spans="1:4" x14ac:dyDescent="0.2">
      <c r="A109" s="11" t="s">
        <v>61</v>
      </c>
      <c r="B109" s="14" cm="1">
        <f t="array" ref="B109">SUMPRODUCT(('Hand Coded'!F$2:F$10000=A109)*(LOWER('Hand Coded'!F$2:F$10000)=LOWER(IFERROR(INDEX('claude-sonnet-4-6'!I:I,MATCH('Hand Coded'!A$2:A$10000,'claude-sonnet-4-6'!A:A,0)),""))))</f>
        <v>25</v>
      </c>
      <c r="C109" s="14">
        <f>COUNTIF('Hand Coded'!F:F,A109)</f>
        <v>33</v>
      </c>
      <c r="D109" s="15">
        <f t="shared" si="2"/>
        <v>0.75757575757575757</v>
      </c>
    </row>
    <row r="110" spans="1:4" x14ac:dyDescent="0.2">
      <c r="A110" s="11" t="s">
        <v>79</v>
      </c>
      <c r="B110" s="14" cm="1">
        <f t="array" ref="B110">SUMPRODUCT(('Hand Coded'!F$2:F$10000=A110)*(LOWER('Hand Coded'!F$2:F$10000)=LOWER(IFERROR(INDEX('claude-sonnet-4-6'!I:I,MATCH('Hand Coded'!A$2:A$10000,'claude-sonnet-4-6'!A:A,0)),""))))</f>
        <v>1</v>
      </c>
      <c r="C110" s="14">
        <f>COUNTIF('Hand Coded'!F:F,A110)</f>
        <v>3</v>
      </c>
      <c r="D110" s="15">
        <f t="shared" si="2"/>
        <v>0.33333333333333331</v>
      </c>
    </row>
    <row r="111" spans="1:4" x14ac:dyDescent="0.2">
      <c r="A111" s="11" t="s">
        <v>65</v>
      </c>
      <c r="B111" s="14" cm="1">
        <f t="array" ref="B111">SUMPRODUCT(('Hand Coded'!F$2:F$10000=A111)*(LOWER('Hand Coded'!F$2:F$10000)=LOWER(IFERROR(INDEX('claude-sonnet-4-6'!I:I,MATCH('Hand Coded'!A$2:A$10000,'claude-sonnet-4-6'!A:A,0)),""))))</f>
        <v>3</v>
      </c>
      <c r="C111" s="14">
        <f>COUNTIF('Hand Coded'!F:F,A111)</f>
        <v>3</v>
      </c>
      <c r="D111" s="15">
        <f t="shared" si="2"/>
        <v>1</v>
      </c>
    </row>
    <row r="112" spans="1:4" x14ac:dyDescent="0.2">
      <c r="A112" s="11" t="s">
        <v>121</v>
      </c>
      <c r="B112" s="14" cm="1">
        <f t="array" ref="B112">SUMPRODUCT(('Hand Coded'!F$2:F$10000=A112)*(LOWER('Hand Coded'!F$2:F$10000)=LOWER(IFERROR(INDEX('claude-sonnet-4-6'!I:I,MATCH('Hand Coded'!A$2:A$10000,'claude-sonnet-4-6'!A:A,0)),""))))</f>
        <v>2</v>
      </c>
      <c r="C112" s="14">
        <f>COUNTIF('Hand Coded'!F:F,A112)</f>
        <v>4</v>
      </c>
      <c r="D112" s="15">
        <f t="shared" si="2"/>
        <v>0.5</v>
      </c>
    </row>
    <row r="113" spans="1:4" x14ac:dyDescent="0.2">
      <c r="A113" s="11" t="s">
        <v>29</v>
      </c>
      <c r="B113" s="14" cm="1">
        <f t="array" ref="B113">SUMPRODUCT(('Hand Coded'!F$2:F$10000=A113)*(LOWER('Hand Coded'!F$2:F$10000)=LOWER(IFERROR(INDEX('claude-sonnet-4-6'!I:I,MATCH('Hand Coded'!A$2:A$10000,'claude-sonnet-4-6'!A:A,0)),""))))</f>
        <v>9</v>
      </c>
      <c r="C113" s="14">
        <f>COUNTIF('Hand Coded'!F:F,A113)</f>
        <v>9</v>
      </c>
      <c r="D113" s="15">
        <f t="shared" si="2"/>
        <v>1</v>
      </c>
    </row>
    <row r="114" spans="1:4" x14ac:dyDescent="0.2">
      <c r="A114" s="11" t="s">
        <v>132</v>
      </c>
      <c r="B114" s="14" cm="1">
        <f t="array" ref="B114">SUMPRODUCT(('Hand Coded'!F$2:F$10000=A114)*(LOWER('Hand Coded'!F$2:F$10000)=LOWER(IFERROR(INDEX('claude-sonnet-4-6'!I:I,MATCH('Hand Coded'!A$2:A$10000,'claude-sonnet-4-6'!A:A,0)),""))))</f>
        <v>1</v>
      </c>
      <c r="C114" s="14">
        <f>COUNTIF('Hand Coded'!F:F,A114)</f>
        <v>1</v>
      </c>
      <c r="D114" s="15">
        <f t="shared" si="2"/>
        <v>1</v>
      </c>
    </row>
    <row r="115" spans="1:4" x14ac:dyDescent="0.2">
      <c r="A115" s="11" t="s">
        <v>41</v>
      </c>
      <c r="B115" s="14" cm="1">
        <f t="array" ref="B115">SUMPRODUCT(('Hand Coded'!F$2:F$10000=A115)*(LOWER('Hand Coded'!F$2:F$10000)=LOWER(IFERROR(INDEX('claude-sonnet-4-6'!I:I,MATCH('Hand Coded'!A$2:A$10000,'claude-sonnet-4-6'!A:A,0)),""))))</f>
        <v>0</v>
      </c>
      <c r="C115" s="14">
        <f>COUNTIF('Hand Coded'!F:F,A115)</f>
        <v>1</v>
      </c>
      <c r="D115" s="15">
        <f t="shared" si="2"/>
        <v>0</v>
      </c>
    </row>
    <row r="116" spans="1:4" x14ac:dyDescent="0.2">
      <c r="A116" s="11" t="s">
        <v>82</v>
      </c>
      <c r="B116" s="14" cm="1">
        <f t="array" ref="B116">SUMPRODUCT(('Hand Coded'!F$2:F$10000=A116)*(LOWER('Hand Coded'!F$2:F$10000)=LOWER(IFERROR(INDEX('claude-sonnet-4-6'!I:I,MATCH('Hand Coded'!A$2:A$10000,'claude-sonnet-4-6'!A:A,0)),""))))</f>
        <v>4</v>
      </c>
      <c r="C116" s="14">
        <f>COUNTIF('Hand Coded'!F:F,A116)</f>
        <v>6</v>
      </c>
      <c r="D116" s="15">
        <f t="shared" si="2"/>
        <v>0.66666666666666663</v>
      </c>
    </row>
    <row r="117" spans="1:4" x14ac:dyDescent="0.2">
      <c r="A117" s="11" t="s">
        <v>412</v>
      </c>
      <c r="B117" s="14" cm="1">
        <f t="array" ref="B117">SUMPRODUCT(('Hand Coded'!F$2:F$10000=A117)*(LOWER('Hand Coded'!F$2:F$10000)=LOWER(IFERROR(INDEX('claude-sonnet-4-6'!I:I,MATCH('Hand Coded'!A$2:A$10000,'claude-sonnet-4-6'!A:A,0)),""))))</f>
        <v>0</v>
      </c>
      <c r="C117" s="14">
        <f>COUNTIF('Hand Coded'!F:F,A117)</f>
        <v>8</v>
      </c>
      <c r="D117" s="15">
        <f t="shared" si="2"/>
        <v>0</v>
      </c>
    </row>
    <row r="118" spans="1:4" x14ac:dyDescent="0.2">
      <c r="A118" s="11" t="s">
        <v>68</v>
      </c>
      <c r="B118" s="14" cm="1">
        <f t="array" ref="B118">SUMPRODUCT(('Hand Coded'!F$2:F$10000=A118)*(LOWER('Hand Coded'!F$2:F$10000)=LOWER(IFERROR(INDEX('claude-sonnet-4-6'!I:I,MATCH('Hand Coded'!A$2:A$10000,'claude-sonnet-4-6'!A:A,0)),""))))</f>
        <v>4</v>
      </c>
      <c r="C118" s="14">
        <f>COUNTIF('Hand Coded'!F:F,A118)</f>
        <v>6</v>
      </c>
      <c r="D118" s="15">
        <f t="shared" si="2"/>
        <v>0.66666666666666663</v>
      </c>
    </row>
    <row r="119" spans="1:4" x14ac:dyDescent="0.2">
      <c r="A119" s="11" t="s">
        <v>94</v>
      </c>
      <c r="B119" s="14" cm="1">
        <f t="array" ref="B119">SUMPRODUCT(('Hand Coded'!F$2:F$10000=A119)*(LOWER('Hand Coded'!F$2:F$10000)=LOWER(IFERROR(INDEX('claude-sonnet-4-6'!I:I,MATCH('Hand Coded'!A$2:A$10000,'claude-sonnet-4-6'!A:A,0)),""))))</f>
        <v>1</v>
      </c>
      <c r="C119" s="14">
        <f>COUNTIF('Hand Coded'!F:F,A119)</f>
        <v>1</v>
      </c>
      <c r="D119" s="15">
        <f t="shared" si="2"/>
        <v>1</v>
      </c>
    </row>
    <row r="120" spans="1:4" x14ac:dyDescent="0.2">
      <c r="A120" s="11" t="s">
        <v>73</v>
      </c>
      <c r="B120" s="14" cm="1">
        <f t="array" ref="B120">SUMPRODUCT(('Hand Coded'!F$2:F$10000=A120)*(LOWER('Hand Coded'!F$2:F$10000)=LOWER(IFERROR(INDEX('claude-sonnet-4-6'!I:I,MATCH('Hand Coded'!A$2:A$10000,'claude-sonnet-4-6'!A:A,0)),""))))</f>
        <v>4</v>
      </c>
      <c r="C120" s="14">
        <f>COUNTIF('Hand Coded'!F:F,A120)</f>
        <v>4</v>
      </c>
      <c r="D120" s="15">
        <f t="shared" si="2"/>
        <v>1</v>
      </c>
    </row>
    <row r="121" spans="1:4" x14ac:dyDescent="0.2">
      <c r="A121" s="11" t="s">
        <v>22</v>
      </c>
      <c r="B121" s="14" cm="1">
        <f t="array" ref="B121">SUMPRODUCT(('Hand Coded'!F$2:F$10000=A121)*(LOWER('Hand Coded'!F$2:F$10000)=LOWER(IFERROR(INDEX('claude-sonnet-4-6'!I:I,MATCH('Hand Coded'!A$2:A$10000,'claude-sonnet-4-6'!A:A,0)),""))))</f>
        <v>2</v>
      </c>
      <c r="C121" s="14">
        <f>COUNTIF('Hand Coded'!F:F,A121)</f>
        <v>3</v>
      </c>
      <c r="D121" s="15">
        <f t="shared" si="2"/>
        <v>0.66666666666666663</v>
      </c>
    </row>
    <row r="122" spans="1:4" x14ac:dyDescent="0.2">
      <c r="A122" s="11" t="s">
        <v>106</v>
      </c>
      <c r="B122" s="14" cm="1">
        <f t="array" ref="B122">SUMPRODUCT(('Hand Coded'!F$2:F$10000=A122)*(LOWER('Hand Coded'!F$2:F$10000)=LOWER(IFERROR(INDEX('claude-sonnet-4-6'!I:I,MATCH('Hand Coded'!A$2:A$10000,'claude-sonnet-4-6'!A:A,0)),""))))</f>
        <v>1</v>
      </c>
      <c r="C122" s="14">
        <f>COUNTIF('Hand Coded'!F:F,A122)</f>
        <v>1</v>
      </c>
      <c r="D122" s="15">
        <f t="shared" si="2"/>
        <v>1</v>
      </c>
    </row>
    <row r="123" spans="1:4" x14ac:dyDescent="0.2">
      <c r="A123" s="11" t="s">
        <v>24</v>
      </c>
      <c r="B123" s="14" cm="1">
        <f t="array" ref="B123">SUMPRODUCT(('Hand Coded'!F$2:F$10000=A123)*(LOWER('Hand Coded'!F$2:F$10000)=LOWER(IFERROR(INDEX('claude-sonnet-4-6'!I:I,MATCH('Hand Coded'!A$2:A$10000,'claude-sonnet-4-6'!A:A,0)),""))))</f>
        <v>28</v>
      </c>
      <c r="C123" s="14">
        <f>COUNTIF('Hand Coded'!F:F,A123)</f>
        <v>30</v>
      </c>
      <c r="D123" s="15">
        <f t="shared" si="2"/>
        <v>0.93333333333333335</v>
      </c>
    </row>
    <row r="124" spans="1:4" ht="16" thickBot="1" x14ac:dyDescent="0.25">
      <c r="A124" s="12" t="s">
        <v>390</v>
      </c>
      <c r="B124" s="16" cm="1">
        <f t="array" ref="B124">SUMPRODUCT(('Hand Coded'!F$2:F$10000=A124)*(LOWER('Hand Coded'!F$2:F$10000)=LOWER(IFERROR(INDEX('claude-sonnet-4-6'!I:I,MATCH('Hand Coded'!A$2:A$10000,'claude-sonnet-4-6'!A:A,0)),""))))</f>
        <v>14</v>
      </c>
      <c r="C124" s="16">
        <f>COUNTIF('Hand Coded'!F:F,A124)</f>
        <v>19</v>
      </c>
      <c r="D124" s="17">
        <f t="shared" si="2"/>
        <v>0.73684210526315785</v>
      </c>
    </row>
    <row r="125" spans="1:4" x14ac:dyDescent="0.2">
      <c r="A125" s="13" t="s">
        <v>437</v>
      </c>
      <c r="B125" s="18">
        <f>SUM(B87:B124)</f>
        <v>179</v>
      </c>
      <c r="C125" s="18">
        <f>SUM(C87:C124)</f>
        <v>225</v>
      </c>
      <c r="D125" s="19">
        <f t="shared" si="2"/>
        <v>0.79555555555555557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4343-2ED6-4D4A-91B5-77844B691B24}">
  <dimension ref="A1:D68"/>
  <sheetViews>
    <sheetView workbookViewId="0"/>
  </sheetViews>
  <sheetFormatPr baseColWidth="10" defaultRowHeight="15" x14ac:dyDescent="0.2"/>
  <cols>
    <col min="1" max="1" width="28" bestFit="1" customWidth="1"/>
    <col min="2" max="2" width="13.6640625" bestFit="1" customWidth="1"/>
    <col min="3" max="3" width="26.6640625" bestFit="1" customWidth="1"/>
    <col min="4" max="4" width="8.5" bestFit="1" customWidth="1"/>
  </cols>
  <sheetData>
    <row r="1" spans="1:4" ht="17" x14ac:dyDescent="0.2">
      <c r="A1" s="9" t="s">
        <v>11</v>
      </c>
    </row>
    <row r="2" spans="1:4" x14ac:dyDescent="0.2">
      <c r="A2" s="10" t="s">
        <v>462</v>
      </c>
      <c r="B2" s="20" t="s">
        <v>434</v>
      </c>
      <c r="C2" s="20" t="s">
        <v>435</v>
      </c>
      <c r="D2" s="21" t="s">
        <v>436</v>
      </c>
    </row>
    <row r="3" spans="1:4" x14ac:dyDescent="0.2">
      <c r="A3" s="11" t="s">
        <v>431</v>
      </c>
      <c r="B3" s="14" cm="1">
        <f t="array" ref="B3">SUMPRODUCT(('Hand Coded'!G$2:G$10000=A3)*(LOWER('Hand Coded'!G$2:G$10000)=LOWER(IFERROR(INDEX('gemini-3.1-flash-lite-preview'!J:J,MATCH('Hand Coded'!A$2:A$10000,'gemini-3.1-flash-lite-preview'!A:A,0)),""))))</f>
        <v>0</v>
      </c>
      <c r="C3" s="14">
        <f>COUNTIF('Hand Coded'!G:G,A3)</f>
        <v>2</v>
      </c>
      <c r="D3" s="15">
        <f t="shared" ref="D3:D22" si="0">IF(C3=0,"",B3/C3)</f>
        <v>0</v>
      </c>
    </row>
    <row r="4" spans="1:4" x14ac:dyDescent="0.2">
      <c r="A4" s="11" t="s">
        <v>406</v>
      </c>
      <c r="B4" s="14" cm="1">
        <f t="array" ref="B4">SUMPRODUCT(('Hand Coded'!G$2:G$10000=A4)*(LOWER('Hand Coded'!G$2:G$10000)=LOWER(IFERROR(INDEX('gemini-3.1-flash-lite-preview'!J:J,MATCH('Hand Coded'!A$2:A$10000,'gemini-3.1-flash-lite-preview'!A:A,0)),""))))</f>
        <v>18</v>
      </c>
      <c r="C4" s="14">
        <f>COUNTIF('Hand Coded'!G:G,A4)</f>
        <v>23</v>
      </c>
      <c r="D4" s="15">
        <f t="shared" si="0"/>
        <v>0.78260869565217395</v>
      </c>
    </row>
    <row r="5" spans="1:4" x14ac:dyDescent="0.2">
      <c r="A5" s="11" t="s">
        <v>414</v>
      </c>
      <c r="B5" s="14" cm="1">
        <f t="array" ref="B5">SUMPRODUCT(('Hand Coded'!G$2:G$10000=A5)*(LOWER('Hand Coded'!G$2:G$10000)=LOWER(IFERROR(INDEX('gemini-3.1-flash-lite-preview'!J:J,MATCH('Hand Coded'!A$2:A$10000,'gemini-3.1-flash-lite-preview'!A:A,0)),""))))</f>
        <v>57</v>
      </c>
      <c r="C5" s="14">
        <f>COUNTIF('Hand Coded'!G:G,A5)</f>
        <v>65</v>
      </c>
      <c r="D5" s="15">
        <f t="shared" si="0"/>
        <v>0.87692307692307692</v>
      </c>
    </row>
    <row r="6" spans="1:4" x14ac:dyDescent="0.2">
      <c r="A6" s="11" t="s">
        <v>421</v>
      </c>
      <c r="B6" s="14" cm="1">
        <f t="array" ref="B6">SUMPRODUCT(('Hand Coded'!G$2:G$10000=A6)*(LOWER('Hand Coded'!G$2:G$10000)=LOWER(IFERROR(INDEX('gemini-3.1-flash-lite-preview'!J:J,MATCH('Hand Coded'!A$2:A$10000,'gemini-3.1-flash-lite-preview'!A:A,0)),""))))</f>
        <v>35</v>
      </c>
      <c r="C6" s="14">
        <f>COUNTIF('Hand Coded'!G:G,A6)</f>
        <v>38</v>
      </c>
      <c r="D6" s="15">
        <f t="shared" si="0"/>
        <v>0.92105263157894735</v>
      </c>
    </row>
    <row r="7" spans="1:4" x14ac:dyDescent="0.2">
      <c r="A7" s="11" t="s">
        <v>422</v>
      </c>
      <c r="B7" s="14" cm="1">
        <f t="array" ref="B7">SUMPRODUCT(('Hand Coded'!G$2:G$10000=A7)*(LOWER('Hand Coded'!G$2:G$10000)=LOWER(IFERROR(INDEX('gemini-3.1-flash-lite-preview'!J:J,MATCH('Hand Coded'!A$2:A$10000,'gemini-3.1-flash-lite-preview'!A:A,0)),""))))</f>
        <v>10</v>
      </c>
      <c r="C7" s="14">
        <f>COUNTIF('Hand Coded'!G:G,A7)</f>
        <v>12</v>
      </c>
      <c r="D7" s="15">
        <f t="shared" si="0"/>
        <v>0.83333333333333337</v>
      </c>
    </row>
    <row r="8" spans="1:4" x14ac:dyDescent="0.2">
      <c r="A8" s="11" t="s">
        <v>430</v>
      </c>
      <c r="B8" s="14" cm="1">
        <f t="array" ref="B8">SUMPRODUCT(('Hand Coded'!G$2:G$10000=A8)*(LOWER('Hand Coded'!G$2:G$10000)=LOWER(IFERROR(INDEX('gemini-3.1-flash-lite-preview'!J:J,MATCH('Hand Coded'!A$2:A$10000,'gemini-3.1-flash-lite-preview'!A:A,0)),""))))</f>
        <v>18</v>
      </c>
      <c r="C8" s="14">
        <f>COUNTIF('Hand Coded'!G:G,A8)</f>
        <v>28</v>
      </c>
      <c r="D8" s="15">
        <f t="shared" si="0"/>
        <v>0.6428571428571429</v>
      </c>
    </row>
    <row r="9" spans="1:4" x14ac:dyDescent="0.2">
      <c r="A9" s="11" t="s">
        <v>427</v>
      </c>
      <c r="B9" s="14" cm="1">
        <f t="array" ref="B9">SUMPRODUCT(('Hand Coded'!G$2:G$10000=A9)*(LOWER('Hand Coded'!G$2:G$10000)=LOWER(IFERROR(INDEX('gemini-3.1-flash-lite-preview'!J:J,MATCH('Hand Coded'!A$2:A$10000,'gemini-3.1-flash-lite-preview'!A:A,0)),""))))</f>
        <v>19</v>
      </c>
      <c r="C9" s="14">
        <f>COUNTIF('Hand Coded'!G:G,A9)</f>
        <v>22</v>
      </c>
      <c r="D9" s="15">
        <f t="shared" si="0"/>
        <v>0.86363636363636365</v>
      </c>
    </row>
    <row r="10" spans="1:4" x14ac:dyDescent="0.2">
      <c r="A10" s="11" t="s">
        <v>390</v>
      </c>
      <c r="B10" s="14" cm="1">
        <f t="array" ref="B10">SUMPRODUCT(('Hand Coded'!G$2:G$10000=A10)*(LOWER('Hand Coded'!G$2:G$10000)=LOWER(IFERROR(INDEX('gemini-3.1-flash-lite-preview'!J:J,MATCH('Hand Coded'!A$2:A$10000,'gemini-3.1-flash-lite-preview'!A:A,0)),""))))</f>
        <v>3</v>
      </c>
      <c r="C10" s="14">
        <f>COUNTIF('Hand Coded'!G:G,A10)</f>
        <v>17</v>
      </c>
      <c r="D10" s="15">
        <f t="shared" si="0"/>
        <v>0.17647058823529413</v>
      </c>
    </row>
    <row r="11" spans="1:4" x14ac:dyDescent="0.2">
      <c r="A11" s="11" t="s">
        <v>432</v>
      </c>
      <c r="B11" s="14" cm="1">
        <f t="array" ref="B11">SUMPRODUCT(('Hand Coded'!G$2:G$10000=A11)*(LOWER('Hand Coded'!G$2:G$10000)=LOWER(IFERROR(INDEX('gemini-3.1-flash-lite-preview'!J:J,MATCH('Hand Coded'!A$2:A$10000,'gemini-3.1-flash-lite-preview'!A:A,0)),""))))</f>
        <v>0</v>
      </c>
      <c r="C11" s="14">
        <f>COUNTIF('Hand Coded'!G:G,A11)</f>
        <v>5</v>
      </c>
      <c r="D11" s="15">
        <f t="shared" si="0"/>
        <v>0</v>
      </c>
    </row>
    <row r="12" spans="1:4" x14ac:dyDescent="0.2">
      <c r="A12" s="11" t="s">
        <v>23</v>
      </c>
      <c r="B12" s="14" cm="1">
        <f t="array" ref="B12">SUMPRODUCT(('Hand Coded'!G$2:G$10000=A12)*(LOWER('Hand Coded'!G$2:G$10000)=LOWER(IFERROR(INDEX('gemini-3.1-flash-lite-preview'!J:J,MATCH('Hand Coded'!A$2:A$10000,'gemini-3.1-flash-lite-preview'!A:A,0)),""))))</f>
        <v>18</v>
      </c>
      <c r="C12" s="14">
        <f>COUNTIF('Hand Coded'!G:G,A12)</f>
        <v>23</v>
      </c>
      <c r="D12" s="15">
        <f t="shared" si="0"/>
        <v>0.78260869565217395</v>
      </c>
    </row>
    <row r="13" spans="1:4" x14ac:dyDescent="0.2">
      <c r="A13" s="11" t="s">
        <v>413</v>
      </c>
      <c r="B13" s="14" cm="1">
        <f t="array" ref="B13">SUMPRODUCT(('Hand Coded'!G$2:G$10000=A13)*(LOWER('Hand Coded'!G$2:G$10000)=LOWER(IFERROR(INDEX('gemini-3.1-flash-lite-preview'!J:J,MATCH('Hand Coded'!A$2:A$10000,'gemini-3.1-flash-lite-preview'!A:A,0)),""))))</f>
        <v>0</v>
      </c>
      <c r="C13" s="14">
        <f>COUNTIF('Hand Coded'!G:G,A13)</f>
        <v>8</v>
      </c>
      <c r="D13" s="15">
        <f t="shared" si="0"/>
        <v>0</v>
      </c>
    </row>
    <row r="14" spans="1:4" x14ac:dyDescent="0.2">
      <c r="A14" s="11" t="s">
        <v>30</v>
      </c>
      <c r="B14" s="14" cm="1">
        <f t="array" ref="B14">SUMPRODUCT(('Hand Coded'!G$2:G$10000=A14)*(LOWER('Hand Coded'!G$2:G$10000)=LOWER(IFERROR(INDEX('gemini-3.1-flash-lite-preview'!J:J,MATCH('Hand Coded'!A$2:A$10000,'gemini-3.1-flash-lite-preview'!A:A,0)),""))))</f>
        <v>57</v>
      </c>
      <c r="C14" s="14">
        <f>COUNTIF('Hand Coded'!G:G,A14)</f>
        <v>65</v>
      </c>
      <c r="D14" s="15">
        <f t="shared" si="0"/>
        <v>0.87692307692307692</v>
      </c>
    </row>
    <row r="15" spans="1:4" x14ac:dyDescent="0.2">
      <c r="A15" s="11" t="s">
        <v>25</v>
      </c>
      <c r="B15" s="14" cm="1">
        <f t="array" ref="B15">SUMPRODUCT(('Hand Coded'!G$2:G$10000=A15)*(LOWER('Hand Coded'!G$2:G$10000)=LOWER(IFERROR(INDEX('gemini-3.1-flash-lite-preview'!J:J,MATCH('Hand Coded'!A$2:A$10000,'gemini-3.1-flash-lite-preview'!A:A,0)),""))))</f>
        <v>35</v>
      </c>
      <c r="C15" s="14">
        <f>COUNTIF('Hand Coded'!G:G,A15)</f>
        <v>38</v>
      </c>
      <c r="D15" s="15">
        <f t="shared" si="0"/>
        <v>0.92105263157894735</v>
      </c>
    </row>
    <row r="16" spans="1:4" x14ac:dyDescent="0.2">
      <c r="A16" s="11" t="s">
        <v>55</v>
      </c>
      <c r="B16" s="14" cm="1">
        <f t="array" ref="B16">SUMPRODUCT(('Hand Coded'!G$2:G$10000=A16)*(LOWER('Hand Coded'!G$2:G$10000)=LOWER(IFERROR(INDEX('gemini-3.1-flash-lite-preview'!J:J,MATCH('Hand Coded'!A$2:A$10000,'gemini-3.1-flash-lite-preview'!A:A,0)),""))))</f>
        <v>0</v>
      </c>
      <c r="C16" s="14">
        <f>COUNTIF('Hand Coded'!G:G,A16)</f>
        <v>2</v>
      </c>
      <c r="D16" s="15">
        <f t="shared" si="0"/>
        <v>0</v>
      </c>
    </row>
    <row r="17" spans="1:4" x14ac:dyDescent="0.2">
      <c r="A17" s="11" t="s">
        <v>401</v>
      </c>
      <c r="B17" s="14" cm="1">
        <f t="array" ref="B17">SUMPRODUCT(('Hand Coded'!G$2:G$10000=A17)*(LOWER('Hand Coded'!G$2:G$10000)=LOWER(IFERROR(INDEX('gemini-3.1-flash-lite-preview'!J:J,MATCH('Hand Coded'!A$2:A$10000,'gemini-3.1-flash-lite-preview'!A:A,0)),""))))</f>
        <v>0</v>
      </c>
      <c r="C17" s="14">
        <f>COUNTIF('Hand Coded'!G:G,A17)</f>
        <v>6</v>
      </c>
      <c r="D17" s="15">
        <f t="shared" si="0"/>
        <v>0</v>
      </c>
    </row>
    <row r="18" spans="1:4" x14ac:dyDescent="0.2">
      <c r="A18" s="11" t="s">
        <v>51</v>
      </c>
      <c r="B18" s="14" cm="1">
        <f t="array" ref="B18">SUMPRODUCT(('Hand Coded'!G$2:G$10000=A18)*(LOWER('Hand Coded'!G$2:G$10000)=LOWER(IFERROR(INDEX('gemini-3.1-flash-lite-preview'!J:J,MATCH('Hand Coded'!A$2:A$10000,'gemini-3.1-flash-lite-preview'!A:A,0)),""))))</f>
        <v>10</v>
      </c>
      <c r="C18" s="14">
        <f>COUNTIF('Hand Coded'!G:G,A18)</f>
        <v>12</v>
      </c>
      <c r="D18" s="15">
        <f t="shared" si="0"/>
        <v>0.83333333333333337</v>
      </c>
    </row>
    <row r="19" spans="1:4" x14ac:dyDescent="0.2">
      <c r="A19" s="11" t="s">
        <v>42</v>
      </c>
      <c r="B19" s="14" cm="1">
        <f t="array" ref="B19">SUMPRODUCT(('Hand Coded'!G$2:G$10000=A19)*(LOWER('Hand Coded'!G$2:G$10000)=LOWER(IFERROR(INDEX('gemini-3.1-flash-lite-preview'!J:J,MATCH('Hand Coded'!A$2:A$10000,'gemini-3.1-flash-lite-preview'!A:A,0)),""))))</f>
        <v>18</v>
      </c>
      <c r="C19" s="14">
        <f>COUNTIF('Hand Coded'!G:G,A19)</f>
        <v>28</v>
      </c>
      <c r="D19" s="15">
        <f t="shared" si="0"/>
        <v>0.6428571428571429</v>
      </c>
    </row>
    <row r="20" spans="1:4" x14ac:dyDescent="0.2">
      <c r="A20" s="11" t="s">
        <v>16</v>
      </c>
      <c r="B20" s="14" cm="1">
        <f t="array" ref="B20">SUMPRODUCT(('Hand Coded'!G$2:G$10000=A20)*(LOWER('Hand Coded'!G$2:G$10000)=LOWER(IFERROR(INDEX('gemini-3.1-flash-lite-preview'!J:J,MATCH('Hand Coded'!A$2:A$10000,'gemini-3.1-flash-lite-preview'!A:A,0)),""))))</f>
        <v>19</v>
      </c>
      <c r="C20" s="14">
        <f>COUNTIF('Hand Coded'!G:G,A20)</f>
        <v>22</v>
      </c>
      <c r="D20" s="15">
        <f t="shared" si="0"/>
        <v>0.86363636363636365</v>
      </c>
    </row>
    <row r="21" spans="1:4" ht="16" thickBot="1" x14ac:dyDescent="0.25">
      <c r="A21" s="12" t="s">
        <v>415</v>
      </c>
      <c r="B21" s="16" cm="1">
        <f t="array" ref="B21">SUMPRODUCT(('Hand Coded'!G$2:G$10000=A21)*(LOWER('Hand Coded'!G$2:G$10000)=LOWER(IFERROR(INDEX('gemini-3.1-flash-lite-preview'!J:J,MATCH('Hand Coded'!A$2:A$10000,'gemini-3.1-flash-lite-preview'!A:A,0)),""))))</f>
        <v>0</v>
      </c>
      <c r="C21" s="16">
        <f>COUNTIF('Hand Coded'!G:G,A21)</f>
        <v>5</v>
      </c>
      <c r="D21" s="17">
        <f t="shared" si="0"/>
        <v>0</v>
      </c>
    </row>
    <row r="22" spans="1:4" x14ac:dyDescent="0.2">
      <c r="A22" s="13" t="s">
        <v>437</v>
      </c>
      <c r="B22" s="18">
        <f>SUM(B3:B21)</f>
        <v>317</v>
      </c>
      <c r="C22" s="18">
        <f>SUM(C3:C21)</f>
        <v>421</v>
      </c>
      <c r="D22" s="19">
        <f t="shared" si="0"/>
        <v>0.75296912114014247</v>
      </c>
    </row>
    <row r="24" spans="1:4" ht="17" x14ac:dyDescent="0.2">
      <c r="A24" s="9" t="s">
        <v>144</v>
      </c>
    </row>
    <row r="25" spans="1:4" x14ac:dyDescent="0.2">
      <c r="A25" s="10" t="s">
        <v>462</v>
      </c>
      <c r="B25" s="20" t="s">
        <v>434</v>
      </c>
      <c r="C25" s="20" t="s">
        <v>435</v>
      </c>
      <c r="D25" s="21" t="s">
        <v>436</v>
      </c>
    </row>
    <row r="26" spans="1:4" x14ac:dyDescent="0.2">
      <c r="A26" s="11" t="s">
        <v>431</v>
      </c>
      <c r="B26" s="14" cm="1">
        <f t="array" ref="B26">SUMPRODUCT(('Hand Coded'!G$2:G$10000=A26)*(LOWER('Hand Coded'!G$2:G$10000)=LOWER(IFERROR(INDEX('gpt-5.4-mini'!J:J,MATCH('Hand Coded'!A$2:A$10000,'gpt-5.4-mini'!A:A,0)),""))))</f>
        <v>0</v>
      </c>
      <c r="C26" s="14">
        <f>COUNTIF('Hand Coded'!G:G,A26)</f>
        <v>2</v>
      </c>
      <c r="D26" s="15">
        <f t="shared" ref="D26:D45" si="1">IF(C26=0,"",B26/C26)</f>
        <v>0</v>
      </c>
    </row>
    <row r="27" spans="1:4" x14ac:dyDescent="0.2">
      <c r="A27" s="11" t="s">
        <v>406</v>
      </c>
      <c r="B27" s="14" cm="1">
        <f t="array" ref="B27">SUMPRODUCT(('Hand Coded'!G$2:G$10000=A27)*(LOWER('Hand Coded'!G$2:G$10000)=LOWER(IFERROR(INDEX('gpt-5.4-mini'!J:J,MATCH('Hand Coded'!A$2:A$10000,'gpt-5.4-mini'!A:A,0)),""))))</f>
        <v>17</v>
      </c>
      <c r="C27" s="14">
        <f>COUNTIF('Hand Coded'!G:G,A27)</f>
        <v>23</v>
      </c>
      <c r="D27" s="15">
        <f t="shared" si="1"/>
        <v>0.73913043478260865</v>
      </c>
    </row>
    <row r="28" spans="1:4" x14ac:dyDescent="0.2">
      <c r="A28" s="11" t="s">
        <v>414</v>
      </c>
      <c r="B28" s="14" cm="1">
        <f t="array" ref="B28">SUMPRODUCT(('Hand Coded'!G$2:G$10000=A28)*(LOWER('Hand Coded'!G$2:G$10000)=LOWER(IFERROR(INDEX('gpt-5.4-mini'!J:J,MATCH('Hand Coded'!A$2:A$10000,'gpt-5.4-mini'!A:A,0)),""))))</f>
        <v>57</v>
      </c>
      <c r="C28" s="14">
        <f>COUNTIF('Hand Coded'!G:G,A28)</f>
        <v>65</v>
      </c>
      <c r="D28" s="15">
        <f t="shared" si="1"/>
        <v>0.87692307692307692</v>
      </c>
    </row>
    <row r="29" spans="1:4" x14ac:dyDescent="0.2">
      <c r="A29" s="11" t="s">
        <v>421</v>
      </c>
      <c r="B29" s="14" cm="1">
        <f t="array" ref="B29">SUMPRODUCT(('Hand Coded'!G$2:G$10000=A29)*(LOWER('Hand Coded'!G$2:G$10000)=LOWER(IFERROR(INDEX('gpt-5.4-mini'!J:J,MATCH('Hand Coded'!A$2:A$10000,'gpt-5.4-mini'!A:A,0)),""))))</f>
        <v>20</v>
      </c>
      <c r="C29" s="14">
        <f>COUNTIF('Hand Coded'!G:G,A29)</f>
        <v>38</v>
      </c>
      <c r="D29" s="15">
        <f t="shared" si="1"/>
        <v>0.52631578947368418</v>
      </c>
    </row>
    <row r="30" spans="1:4" x14ac:dyDescent="0.2">
      <c r="A30" s="11" t="s">
        <v>422</v>
      </c>
      <c r="B30" s="14" cm="1">
        <f t="array" ref="B30">SUMPRODUCT(('Hand Coded'!G$2:G$10000=A30)*(LOWER('Hand Coded'!G$2:G$10000)=LOWER(IFERROR(INDEX('gpt-5.4-mini'!J:J,MATCH('Hand Coded'!A$2:A$10000,'gpt-5.4-mini'!A:A,0)),""))))</f>
        <v>11</v>
      </c>
      <c r="C30" s="14">
        <f>COUNTIF('Hand Coded'!G:G,A30)</f>
        <v>12</v>
      </c>
      <c r="D30" s="15">
        <f t="shared" si="1"/>
        <v>0.91666666666666663</v>
      </c>
    </row>
    <row r="31" spans="1:4" x14ac:dyDescent="0.2">
      <c r="A31" s="11" t="s">
        <v>430</v>
      </c>
      <c r="B31" s="14" cm="1">
        <f t="array" ref="B31">SUMPRODUCT(('Hand Coded'!G$2:G$10000=A31)*(LOWER('Hand Coded'!G$2:G$10000)=LOWER(IFERROR(INDEX('gpt-5.4-mini'!J:J,MATCH('Hand Coded'!A$2:A$10000,'gpt-5.4-mini'!A:A,0)),""))))</f>
        <v>8</v>
      </c>
      <c r="C31" s="14">
        <f>COUNTIF('Hand Coded'!G:G,A31)</f>
        <v>28</v>
      </c>
      <c r="D31" s="15">
        <f t="shared" si="1"/>
        <v>0.2857142857142857</v>
      </c>
    </row>
    <row r="32" spans="1:4" x14ac:dyDescent="0.2">
      <c r="A32" s="11" t="s">
        <v>427</v>
      </c>
      <c r="B32" s="14" cm="1">
        <f t="array" ref="B32">SUMPRODUCT(('Hand Coded'!G$2:G$10000=A32)*(LOWER('Hand Coded'!G$2:G$10000)=LOWER(IFERROR(INDEX('gpt-5.4-mini'!J:J,MATCH('Hand Coded'!A$2:A$10000,'gpt-5.4-mini'!A:A,0)),""))))</f>
        <v>6</v>
      </c>
      <c r="C32" s="14">
        <f>COUNTIF('Hand Coded'!G:G,A32)</f>
        <v>22</v>
      </c>
      <c r="D32" s="15">
        <f t="shared" si="1"/>
        <v>0.27272727272727271</v>
      </c>
    </row>
    <row r="33" spans="1:4" x14ac:dyDescent="0.2">
      <c r="A33" s="11" t="s">
        <v>390</v>
      </c>
      <c r="B33" s="14" cm="1">
        <f t="array" ref="B33">SUMPRODUCT(('Hand Coded'!G$2:G$10000=A33)*(LOWER('Hand Coded'!G$2:G$10000)=LOWER(IFERROR(INDEX('gpt-5.4-mini'!J:J,MATCH('Hand Coded'!A$2:A$10000,'gpt-5.4-mini'!A:A,0)),""))))</f>
        <v>10</v>
      </c>
      <c r="C33" s="14">
        <f>COUNTIF('Hand Coded'!G:G,A33)</f>
        <v>17</v>
      </c>
      <c r="D33" s="15">
        <f t="shared" si="1"/>
        <v>0.58823529411764708</v>
      </c>
    </row>
    <row r="34" spans="1:4" x14ac:dyDescent="0.2">
      <c r="A34" s="11" t="s">
        <v>432</v>
      </c>
      <c r="B34" s="14" cm="1">
        <f t="array" ref="B34">SUMPRODUCT(('Hand Coded'!G$2:G$10000=A34)*(LOWER('Hand Coded'!G$2:G$10000)=LOWER(IFERROR(INDEX('gpt-5.4-mini'!J:J,MATCH('Hand Coded'!A$2:A$10000,'gpt-5.4-mini'!A:A,0)),""))))</f>
        <v>0</v>
      </c>
      <c r="C34" s="14">
        <f>COUNTIF('Hand Coded'!G:G,A34)</f>
        <v>5</v>
      </c>
      <c r="D34" s="15">
        <f t="shared" si="1"/>
        <v>0</v>
      </c>
    </row>
    <row r="35" spans="1:4" x14ac:dyDescent="0.2">
      <c r="A35" s="11" t="s">
        <v>23</v>
      </c>
      <c r="B35" s="14" cm="1">
        <f t="array" ref="B35">SUMPRODUCT(('Hand Coded'!G$2:G$10000=A35)*(LOWER('Hand Coded'!G$2:G$10000)=LOWER(IFERROR(INDEX('gpt-5.4-mini'!J:J,MATCH('Hand Coded'!A$2:A$10000,'gpt-5.4-mini'!A:A,0)),""))))</f>
        <v>17</v>
      </c>
      <c r="C35" s="14">
        <f>COUNTIF('Hand Coded'!G:G,A35)</f>
        <v>23</v>
      </c>
      <c r="D35" s="15">
        <f t="shared" si="1"/>
        <v>0.73913043478260865</v>
      </c>
    </row>
    <row r="36" spans="1:4" x14ac:dyDescent="0.2">
      <c r="A36" s="11" t="s">
        <v>413</v>
      </c>
      <c r="B36" s="14" cm="1">
        <f t="array" ref="B36">SUMPRODUCT(('Hand Coded'!G$2:G$10000=A36)*(LOWER('Hand Coded'!G$2:G$10000)=LOWER(IFERROR(INDEX('gpt-5.4-mini'!J:J,MATCH('Hand Coded'!A$2:A$10000,'gpt-5.4-mini'!A:A,0)),""))))</f>
        <v>0</v>
      </c>
      <c r="C36" s="14">
        <f>COUNTIF('Hand Coded'!G:G,A36)</f>
        <v>8</v>
      </c>
      <c r="D36" s="15">
        <f t="shared" si="1"/>
        <v>0</v>
      </c>
    </row>
    <row r="37" spans="1:4" x14ac:dyDescent="0.2">
      <c r="A37" s="11" t="s">
        <v>30</v>
      </c>
      <c r="B37" s="14" cm="1">
        <f t="array" ref="B37">SUMPRODUCT(('Hand Coded'!G$2:G$10000=A37)*(LOWER('Hand Coded'!G$2:G$10000)=LOWER(IFERROR(INDEX('gpt-5.4-mini'!J:J,MATCH('Hand Coded'!A$2:A$10000,'gpt-5.4-mini'!A:A,0)),""))))</f>
        <v>57</v>
      </c>
      <c r="C37" s="14">
        <f>COUNTIF('Hand Coded'!G:G,A37)</f>
        <v>65</v>
      </c>
      <c r="D37" s="15">
        <f t="shared" si="1"/>
        <v>0.87692307692307692</v>
      </c>
    </row>
    <row r="38" spans="1:4" x14ac:dyDescent="0.2">
      <c r="A38" s="11" t="s">
        <v>25</v>
      </c>
      <c r="B38" s="14" cm="1">
        <f t="array" ref="B38">SUMPRODUCT(('Hand Coded'!G$2:G$10000=A38)*(LOWER('Hand Coded'!G$2:G$10000)=LOWER(IFERROR(INDEX('gpt-5.4-mini'!J:J,MATCH('Hand Coded'!A$2:A$10000,'gpt-5.4-mini'!A:A,0)),""))))</f>
        <v>20</v>
      </c>
      <c r="C38" s="14">
        <f>COUNTIF('Hand Coded'!G:G,A38)</f>
        <v>38</v>
      </c>
      <c r="D38" s="15">
        <f t="shared" si="1"/>
        <v>0.52631578947368418</v>
      </c>
    </row>
    <row r="39" spans="1:4" x14ac:dyDescent="0.2">
      <c r="A39" s="11" t="s">
        <v>55</v>
      </c>
      <c r="B39" s="14" cm="1">
        <f t="array" ref="B39">SUMPRODUCT(('Hand Coded'!G$2:G$10000=A39)*(LOWER('Hand Coded'!G$2:G$10000)=LOWER(IFERROR(INDEX('gpt-5.4-mini'!J:J,MATCH('Hand Coded'!A$2:A$10000,'gpt-5.4-mini'!A:A,0)),""))))</f>
        <v>0</v>
      </c>
      <c r="C39" s="14">
        <f>COUNTIF('Hand Coded'!G:G,A39)</f>
        <v>2</v>
      </c>
      <c r="D39" s="15">
        <f t="shared" si="1"/>
        <v>0</v>
      </c>
    </row>
    <row r="40" spans="1:4" x14ac:dyDescent="0.2">
      <c r="A40" s="11" t="s">
        <v>401</v>
      </c>
      <c r="B40" s="14" cm="1">
        <f t="array" ref="B40">SUMPRODUCT(('Hand Coded'!G$2:G$10000=A40)*(LOWER('Hand Coded'!G$2:G$10000)=LOWER(IFERROR(INDEX('gpt-5.4-mini'!J:J,MATCH('Hand Coded'!A$2:A$10000,'gpt-5.4-mini'!A:A,0)),""))))</f>
        <v>0</v>
      </c>
      <c r="C40" s="14">
        <f>COUNTIF('Hand Coded'!G:G,A40)</f>
        <v>6</v>
      </c>
      <c r="D40" s="15">
        <f t="shared" si="1"/>
        <v>0</v>
      </c>
    </row>
    <row r="41" spans="1:4" x14ac:dyDescent="0.2">
      <c r="A41" s="11" t="s">
        <v>51</v>
      </c>
      <c r="B41" s="14" cm="1">
        <f t="array" ref="B41">SUMPRODUCT(('Hand Coded'!G$2:G$10000=A41)*(LOWER('Hand Coded'!G$2:G$10000)=LOWER(IFERROR(INDEX('gpt-5.4-mini'!J:J,MATCH('Hand Coded'!A$2:A$10000,'gpt-5.4-mini'!A:A,0)),""))))</f>
        <v>11</v>
      </c>
      <c r="C41" s="14">
        <f>COUNTIF('Hand Coded'!G:G,A41)</f>
        <v>12</v>
      </c>
      <c r="D41" s="15">
        <f t="shared" si="1"/>
        <v>0.91666666666666663</v>
      </c>
    </row>
    <row r="42" spans="1:4" x14ac:dyDescent="0.2">
      <c r="A42" s="11" t="s">
        <v>42</v>
      </c>
      <c r="B42" s="14" cm="1">
        <f t="array" ref="B42">SUMPRODUCT(('Hand Coded'!G$2:G$10000=A42)*(LOWER('Hand Coded'!G$2:G$10000)=LOWER(IFERROR(INDEX('gpt-5.4-mini'!J:J,MATCH('Hand Coded'!A$2:A$10000,'gpt-5.4-mini'!A:A,0)),""))))</f>
        <v>8</v>
      </c>
      <c r="C42" s="14">
        <f>COUNTIF('Hand Coded'!G:G,A42)</f>
        <v>28</v>
      </c>
      <c r="D42" s="15">
        <f t="shared" si="1"/>
        <v>0.2857142857142857</v>
      </c>
    </row>
    <row r="43" spans="1:4" x14ac:dyDescent="0.2">
      <c r="A43" s="11" t="s">
        <v>16</v>
      </c>
      <c r="B43" s="14" cm="1">
        <f t="array" ref="B43">SUMPRODUCT(('Hand Coded'!G$2:G$10000=A43)*(LOWER('Hand Coded'!G$2:G$10000)=LOWER(IFERROR(INDEX('gpt-5.4-mini'!J:J,MATCH('Hand Coded'!A$2:A$10000,'gpt-5.4-mini'!A:A,0)),""))))</f>
        <v>6</v>
      </c>
      <c r="C43" s="14">
        <f>COUNTIF('Hand Coded'!G:G,A43)</f>
        <v>22</v>
      </c>
      <c r="D43" s="15">
        <f t="shared" si="1"/>
        <v>0.27272727272727271</v>
      </c>
    </row>
    <row r="44" spans="1:4" ht="16" thickBot="1" x14ac:dyDescent="0.25">
      <c r="A44" s="12" t="s">
        <v>415</v>
      </c>
      <c r="B44" s="16" cm="1">
        <f t="array" ref="B44">SUMPRODUCT(('Hand Coded'!G$2:G$10000=A44)*(LOWER('Hand Coded'!G$2:G$10000)=LOWER(IFERROR(INDEX('gpt-5.4-mini'!J:J,MATCH('Hand Coded'!A$2:A$10000,'gpt-5.4-mini'!A:A,0)),""))))</f>
        <v>0</v>
      </c>
      <c r="C44" s="16">
        <f>COUNTIF('Hand Coded'!G:G,A44)</f>
        <v>5</v>
      </c>
      <c r="D44" s="17">
        <f t="shared" si="1"/>
        <v>0</v>
      </c>
    </row>
    <row r="45" spans="1:4" x14ac:dyDescent="0.2">
      <c r="A45" s="13" t="s">
        <v>437</v>
      </c>
      <c r="B45" s="18">
        <f>SUM(B26:B44)</f>
        <v>248</v>
      </c>
      <c r="C45" s="18">
        <f>SUM(C26:C44)</f>
        <v>421</v>
      </c>
      <c r="D45" s="19">
        <f t="shared" si="1"/>
        <v>0.5890736342042755</v>
      </c>
    </row>
    <row r="47" spans="1:4" ht="17" x14ac:dyDescent="0.2">
      <c r="A47" s="9" t="s">
        <v>255</v>
      </c>
    </row>
    <row r="48" spans="1:4" x14ac:dyDescent="0.2">
      <c r="A48" s="10" t="s">
        <v>462</v>
      </c>
      <c r="B48" s="20" t="s">
        <v>434</v>
      </c>
      <c r="C48" s="20" t="s">
        <v>435</v>
      </c>
      <c r="D48" s="21" t="s">
        <v>436</v>
      </c>
    </row>
    <row r="49" spans="1:4" x14ac:dyDescent="0.2">
      <c r="A49" s="11" t="s">
        <v>431</v>
      </c>
      <c r="B49" s="14" cm="1">
        <f t="array" ref="B49">SUMPRODUCT(('Hand Coded'!G$2:G$10000=A49)*(LOWER('Hand Coded'!G$2:G$10000)=LOWER(IFERROR(INDEX('claude-sonnet-4-6'!J:J,MATCH('Hand Coded'!A$2:A$10000,'claude-sonnet-4-6'!A:A,0)),""))))</f>
        <v>0</v>
      </c>
      <c r="C49" s="14">
        <f>COUNTIF('Hand Coded'!G:G,A49)</f>
        <v>2</v>
      </c>
      <c r="D49" s="15">
        <f t="shared" ref="D49:D68" si="2">IF(C49=0,"",B49/C49)</f>
        <v>0</v>
      </c>
    </row>
    <row r="50" spans="1:4" x14ac:dyDescent="0.2">
      <c r="A50" s="11" t="s">
        <v>406</v>
      </c>
      <c r="B50" s="14" cm="1">
        <f t="array" ref="B50">SUMPRODUCT(('Hand Coded'!G$2:G$10000=A50)*(LOWER('Hand Coded'!G$2:G$10000)=LOWER(IFERROR(INDEX('claude-sonnet-4-6'!J:J,MATCH('Hand Coded'!A$2:A$10000,'claude-sonnet-4-6'!A:A,0)),""))))</f>
        <v>15</v>
      </c>
      <c r="C50" s="14">
        <f>COUNTIF('Hand Coded'!G:G,A50)</f>
        <v>23</v>
      </c>
      <c r="D50" s="15">
        <f t="shared" si="2"/>
        <v>0.65217391304347827</v>
      </c>
    </row>
    <row r="51" spans="1:4" x14ac:dyDescent="0.2">
      <c r="A51" s="11" t="s">
        <v>414</v>
      </c>
      <c r="B51" s="14" cm="1">
        <f t="array" ref="B51">SUMPRODUCT(('Hand Coded'!G$2:G$10000=A51)*(LOWER('Hand Coded'!G$2:G$10000)=LOWER(IFERROR(INDEX('claude-sonnet-4-6'!J:J,MATCH('Hand Coded'!A$2:A$10000,'claude-sonnet-4-6'!A:A,0)),""))))</f>
        <v>57</v>
      </c>
      <c r="C51" s="14">
        <f>COUNTIF('Hand Coded'!G:G,A51)</f>
        <v>65</v>
      </c>
      <c r="D51" s="15">
        <f t="shared" si="2"/>
        <v>0.87692307692307692</v>
      </c>
    </row>
    <row r="52" spans="1:4" x14ac:dyDescent="0.2">
      <c r="A52" s="11" t="s">
        <v>421</v>
      </c>
      <c r="B52" s="14" cm="1">
        <f t="array" ref="B52">SUMPRODUCT(('Hand Coded'!G$2:G$10000=A52)*(LOWER('Hand Coded'!G$2:G$10000)=LOWER(IFERROR(INDEX('claude-sonnet-4-6'!J:J,MATCH('Hand Coded'!A$2:A$10000,'claude-sonnet-4-6'!A:A,0)),""))))</f>
        <v>36</v>
      </c>
      <c r="C52" s="14">
        <f>COUNTIF('Hand Coded'!G:G,A52)</f>
        <v>38</v>
      </c>
      <c r="D52" s="15">
        <f t="shared" si="2"/>
        <v>0.94736842105263153</v>
      </c>
    </row>
    <row r="53" spans="1:4" x14ac:dyDescent="0.2">
      <c r="A53" s="11" t="s">
        <v>422</v>
      </c>
      <c r="B53" s="14" cm="1">
        <f t="array" ref="B53">SUMPRODUCT(('Hand Coded'!G$2:G$10000=A53)*(LOWER('Hand Coded'!G$2:G$10000)=LOWER(IFERROR(INDEX('claude-sonnet-4-6'!J:J,MATCH('Hand Coded'!A$2:A$10000,'claude-sonnet-4-6'!A:A,0)),""))))</f>
        <v>11</v>
      </c>
      <c r="C53" s="14">
        <f>COUNTIF('Hand Coded'!G:G,A53)</f>
        <v>12</v>
      </c>
      <c r="D53" s="15">
        <f t="shared" si="2"/>
        <v>0.91666666666666663</v>
      </c>
    </row>
    <row r="54" spans="1:4" x14ac:dyDescent="0.2">
      <c r="A54" s="11" t="s">
        <v>430</v>
      </c>
      <c r="B54" s="14" cm="1">
        <f t="array" ref="B54">SUMPRODUCT(('Hand Coded'!G$2:G$10000=A54)*(LOWER('Hand Coded'!G$2:G$10000)=LOWER(IFERROR(INDEX('claude-sonnet-4-6'!J:J,MATCH('Hand Coded'!A$2:A$10000,'claude-sonnet-4-6'!A:A,0)),""))))</f>
        <v>13</v>
      </c>
      <c r="C54" s="14">
        <f>COUNTIF('Hand Coded'!G:G,A54)</f>
        <v>28</v>
      </c>
      <c r="D54" s="15">
        <f t="shared" si="2"/>
        <v>0.4642857142857143</v>
      </c>
    </row>
    <row r="55" spans="1:4" x14ac:dyDescent="0.2">
      <c r="A55" s="11" t="s">
        <v>427</v>
      </c>
      <c r="B55" s="14" cm="1">
        <f t="array" ref="B55">SUMPRODUCT(('Hand Coded'!G$2:G$10000=A55)*(LOWER('Hand Coded'!G$2:G$10000)=LOWER(IFERROR(INDEX('claude-sonnet-4-6'!J:J,MATCH('Hand Coded'!A$2:A$10000,'claude-sonnet-4-6'!A:A,0)),""))))</f>
        <v>21</v>
      </c>
      <c r="C55" s="14">
        <f>COUNTIF('Hand Coded'!G:G,A55)</f>
        <v>22</v>
      </c>
      <c r="D55" s="15">
        <f t="shared" si="2"/>
        <v>0.95454545454545459</v>
      </c>
    </row>
    <row r="56" spans="1:4" x14ac:dyDescent="0.2">
      <c r="A56" s="11" t="s">
        <v>390</v>
      </c>
      <c r="B56" s="14" cm="1">
        <f t="array" ref="B56">SUMPRODUCT(('Hand Coded'!G$2:G$10000=A56)*(LOWER('Hand Coded'!G$2:G$10000)=LOWER(IFERROR(INDEX('claude-sonnet-4-6'!J:J,MATCH('Hand Coded'!A$2:A$10000,'claude-sonnet-4-6'!A:A,0)),""))))</f>
        <v>11</v>
      </c>
      <c r="C56" s="14">
        <f>COUNTIF('Hand Coded'!G:G,A56)</f>
        <v>17</v>
      </c>
      <c r="D56" s="15">
        <f t="shared" si="2"/>
        <v>0.6470588235294118</v>
      </c>
    </row>
    <row r="57" spans="1:4" x14ac:dyDescent="0.2">
      <c r="A57" s="11" t="s">
        <v>432</v>
      </c>
      <c r="B57" s="14" cm="1">
        <f t="array" ref="B57">SUMPRODUCT(('Hand Coded'!G$2:G$10000=A57)*(LOWER('Hand Coded'!G$2:G$10000)=LOWER(IFERROR(INDEX('claude-sonnet-4-6'!J:J,MATCH('Hand Coded'!A$2:A$10000,'claude-sonnet-4-6'!A:A,0)),""))))</f>
        <v>0</v>
      </c>
      <c r="C57" s="14">
        <f>COUNTIF('Hand Coded'!G:G,A57)</f>
        <v>5</v>
      </c>
      <c r="D57" s="15">
        <f t="shared" si="2"/>
        <v>0</v>
      </c>
    </row>
    <row r="58" spans="1:4" x14ac:dyDescent="0.2">
      <c r="A58" s="11" t="s">
        <v>23</v>
      </c>
      <c r="B58" s="14" cm="1">
        <f t="array" ref="B58">SUMPRODUCT(('Hand Coded'!G$2:G$10000=A58)*(LOWER('Hand Coded'!G$2:G$10000)=LOWER(IFERROR(INDEX('claude-sonnet-4-6'!J:J,MATCH('Hand Coded'!A$2:A$10000,'claude-sonnet-4-6'!A:A,0)),""))))</f>
        <v>15</v>
      </c>
      <c r="C58" s="14">
        <f>COUNTIF('Hand Coded'!G:G,A58)</f>
        <v>23</v>
      </c>
      <c r="D58" s="15">
        <f t="shared" si="2"/>
        <v>0.65217391304347827</v>
      </c>
    </row>
    <row r="59" spans="1:4" x14ac:dyDescent="0.2">
      <c r="A59" s="11" t="s">
        <v>413</v>
      </c>
      <c r="B59" s="14" cm="1">
        <f t="array" ref="B59">SUMPRODUCT(('Hand Coded'!G$2:G$10000=A59)*(LOWER('Hand Coded'!G$2:G$10000)=LOWER(IFERROR(INDEX('claude-sonnet-4-6'!J:J,MATCH('Hand Coded'!A$2:A$10000,'claude-sonnet-4-6'!A:A,0)),""))))</f>
        <v>0</v>
      </c>
      <c r="C59" s="14">
        <f>COUNTIF('Hand Coded'!G:G,A59)</f>
        <v>8</v>
      </c>
      <c r="D59" s="15">
        <f t="shared" si="2"/>
        <v>0</v>
      </c>
    </row>
    <row r="60" spans="1:4" x14ac:dyDescent="0.2">
      <c r="A60" s="11" t="s">
        <v>30</v>
      </c>
      <c r="B60" s="14" cm="1">
        <f t="array" ref="B60">SUMPRODUCT(('Hand Coded'!G$2:G$10000=A60)*(LOWER('Hand Coded'!G$2:G$10000)=LOWER(IFERROR(INDEX('claude-sonnet-4-6'!J:J,MATCH('Hand Coded'!A$2:A$10000,'claude-sonnet-4-6'!A:A,0)),""))))</f>
        <v>57</v>
      </c>
      <c r="C60" s="14">
        <f>COUNTIF('Hand Coded'!G:G,A60)</f>
        <v>65</v>
      </c>
      <c r="D60" s="15">
        <f t="shared" si="2"/>
        <v>0.87692307692307692</v>
      </c>
    </row>
    <row r="61" spans="1:4" x14ac:dyDescent="0.2">
      <c r="A61" s="11" t="s">
        <v>25</v>
      </c>
      <c r="B61" s="14" cm="1">
        <f t="array" ref="B61">SUMPRODUCT(('Hand Coded'!G$2:G$10000=A61)*(LOWER('Hand Coded'!G$2:G$10000)=LOWER(IFERROR(INDEX('claude-sonnet-4-6'!J:J,MATCH('Hand Coded'!A$2:A$10000,'claude-sonnet-4-6'!A:A,0)),""))))</f>
        <v>36</v>
      </c>
      <c r="C61" s="14">
        <f>COUNTIF('Hand Coded'!G:G,A61)</f>
        <v>38</v>
      </c>
      <c r="D61" s="15">
        <f t="shared" si="2"/>
        <v>0.94736842105263153</v>
      </c>
    </row>
    <row r="62" spans="1:4" x14ac:dyDescent="0.2">
      <c r="A62" s="11" t="s">
        <v>55</v>
      </c>
      <c r="B62" s="14" cm="1">
        <f t="array" ref="B62">SUMPRODUCT(('Hand Coded'!G$2:G$10000=A62)*(LOWER('Hand Coded'!G$2:G$10000)=LOWER(IFERROR(INDEX('claude-sonnet-4-6'!J:J,MATCH('Hand Coded'!A$2:A$10000,'claude-sonnet-4-6'!A:A,0)),""))))</f>
        <v>0</v>
      </c>
      <c r="C62" s="14">
        <f>COUNTIF('Hand Coded'!G:G,A62)</f>
        <v>2</v>
      </c>
      <c r="D62" s="15">
        <f t="shared" si="2"/>
        <v>0</v>
      </c>
    </row>
    <row r="63" spans="1:4" x14ac:dyDescent="0.2">
      <c r="A63" s="11" t="s">
        <v>401</v>
      </c>
      <c r="B63" s="14" cm="1">
        <f t="array" ref="B63">SUMPRODUCT(('Hand Coded'!G$2:G$10000=A63)*(LOWER('Hand Coded'!G$2:G$10000)=LOWER(IFERROR(INDEX('claude-sonnet-4-6'!J:J,MATCH('Hand Coded'!A$2:A$10000,'claude-sonnet-4-6'!A:A,0)),""))))</f>
        <v>0</v>
      </c>
      <c r="C63" s="14">
        <f>COUNTIF('Hand Coded'!G:G,A63)</f>
        <v>6</v>
      </c>
      <c r="D63" s="15">
        <f t="shared" si="2"/>
        <v>0</v>
      </c>
    </row>
    <row r="64" spans="1:4" x14ac:dyDescent="0.2">
      <c r="A64" s="11" t="s">
        <v>51</v>
      </c>
      <c r="B64" s="14" cm="1">
        <f t="array" ref="B64">SUMPRODUCT(('Hand Coded'!G$2:G$10000=A64)*(LOWER('Hand Coded'!G$2:G$10000)=LOWER(IFERROR(INDEX('claude-sonnet-4-6'!J:J,MATCH('Hand Coded'!A$2:A$10000,'claude-sonnet-4-6'!A:A,0)),""))))</f>
        <v>11</v>
      </c>
      <c r="C64" s="14">
        <f>COUNTIF('Hand Coded'!G:G,A64)</f>
        <v>12</v>
      </c>
      <c r="D64" s="15">
        <f t="shared" si="2"/>
        <v>0.91666666666666663</v>
      </c>
    </row>
    <row r="65" spans="1:4" x14ac:dyDescent="0.2">
      <c r="A65" s="11" t="s">
        <v>42</v>
      </c>
      <c r="B65" s="14" cm="1">
        <f t="array" ref="B65">SUMPRODUCT(('Hand Coded'!G$2:G$10000=A65)*(LOWER('Hand Coded'!G$2:G$10000)=LOWER(IFERROR(INDEX('claude-sonnet-4-6'!J:J,MATCH('Hand Coded'!A$2:A$10000,'claude-sonnet-4-6'!A:A,0)),""))))</f>
        <v>13</v>
      </c>
      <c r="C65" s="14">
        <f>COUNTIF('Hand Coded'!G:G,A65)</f>
        <v>28</v>
      </c>
      <c r="D65" s="15">
        <f t="shared" si="2"/>
        <v>0.4642857142857143</v>
      </c>
    </row>
    <row r="66" spans="1:4" x14ac:dyDescent="0.2">
      <c r="A66" s="11" t="s">
        <v>16</v>
      </c>
      <c r="B66" s="14" cm="1">
        <f t="array" ref="B66">SUMPRODUCT(('Hand Coded'!G$2:G$10000=A66)*(LOWER('Hand Coded'!G$2:G$10000)=LOWER(IFERROR(INDEX('claude-sonnet-4-6'!J:J,MATCH('Hand Coded'!A$2:A$10000,'claude-sonnet-4-6'!A:A,0)),""))))</f>
        <v>21</v>
      </c>
      <c r="C66" s="14">
        <f>COUNTIF('Hand Coded'!G:G,A66)</f>
        <v>22</v>
      </c>
      <c r="D66" s="15">
        <f t="shared" si="2"/>
        <v>0.95454545454545459</v>
      </c>
    </row>
    <row r="67" spans="1:4" ht="16" thickBot="1" x14ac:dyDescent="0.25">
      <c r="A67" s="12" t="s">
        <v>415</v>
      </c>
      <c r="B67" s="16" cm="1">
        <f t="array" ref="B67">SUMPRODUCT(('Hand Coded'!G$2:G$10000=A67)*(LOWER('Hand Coded'!G$2:G$10000)=LOWER(IFERROR(INDEX('claude-sonnet-4-6'!J:J,MATCH('Hand Coded'!A$2:A$10000,'claude-sonnet-4-6'!A:A,0)),""))))</f>
        <v>0</v>
      </c>
      <c r="C67" s="16">
        <f>COUNTIF('Hand Coded'!G:G,A67)</f>
        <v>5</v>
      </c>
      <c r="D67" s="17">
        <f t="shared" si="2"/>
        <v>0</v>
      </c>
    </row>
    <row r="68" spans="1:4" x14ac:dyDescent="0.2">
      <c r="A68" s="13" t="s">
        <v>437</v>
      </c>
      <c r="B68" s="18">
        <f>SUM(B49:B67)</f>
        <v>317</v>
      </c>
      <c r="C68" s="18">
        <f>SUM(C49:C67)</f>
        <v>421</v>
      </c>
      <c r="D68" s="19">
        <f t="shared" si="2"/>
        <v>0.75296912114014247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gemini-3.1-flash-lite-preview</vt:lpstr>
      <vt:lpstr>gpt-5.4-mini</vt:lpstr>
      <vt:lpstr>claude-sonnet-4-6</vt:lpstr>
      <vt:lpstr>Hand Coded</vt:lpstr>
      <vt:lpstr>Jess</vt:lpstr>
      <vt:lpstr>Hand Code Off</vt:lpstr>
      <vt:lpstr>Sentiment Analysis</vt:lpstr>
      <vt:lpstr>Disagreement Analysis</vt:lpstr>
      <vt:lpstr>Feedback Theme</vt:lpstr>
      <vt:lpstr>Project Type</vt:lpstr>
      <vt:lpstr>Commenter Type</vt:lpstr>
      <vt:lpstr>Project State</vt:lpstr>
      <vt:lpstr>Project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Bhaskar, Armaan</cp:lastModifiedBy>
  <dcterms:created xsi:type="dcterms:W3CDTF">2026-04-11T00:49:06Z</dcterms:created>
  <dcterms:modified xsi:type="dcterms:W3CDTF">2026-04-14T14:58:38Z</dcterms:modified>
</cp:coreProperties>
</file>